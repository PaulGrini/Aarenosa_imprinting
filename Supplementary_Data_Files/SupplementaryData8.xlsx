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piHybrids\arenosa_RNA_seq\manuscript\Temp_GitHub_forIda-thesis\Supplementary_Data_Files\"/>
    </mc:Choice>
  </mc:AlternateContent>
  <xr:revisionPtr revIDLastSave="0" documentId="8_{39D0C619-DA6D-4C28-87C7-3FD0F9920E7D}" xr6:coauthVersionLast="47" xr6:coauthVersionMax="47" xr10:uidLastSave="{00000000-0000-0000-0000-000000000000}"/>
  <bookViews>
    <workbookView xWindow="35820" yWindow="4530" windowWidth="24615" windowHeight="14925" xr2:uid="{707B5270-ADBA-4A69-AE5A-351B2BCEC36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B11" i="1"/>
  <c r="M12" i="1"/>
  <c r="L12" i="1"/>
  <c r="C12" i="1"/>
  <c r="B12" i="1"/>
  <c r="M11" i="1"/>
  <c r="C11" i="1"/>
</calcChain>
</file>

<file path=xl/sharedStrings.xml><?xml version="1.0" encoding="utf-8"?>
<sst xmlns="http://schemas.openxmlformats.org/spreadsheetml/2006/main" count="54" uniqueCount="18">
  <si>
    <t>Total number of informative reads PILON-RUN</t>
  </si>
  <si>
    <t>Total number of informative reads FINAL-K-MER-RUN</t>
  </si>
  <si>
    <t>not halved, not filtered, no pseudocount, not normalized</t>
  </si>
  <si>
    <t>BR1</t>
  </si>
  <si>
    <t>BR2</t>
  </si>
  <si>
    <t>BR3</t>
  </si>
  <si>
    <t>BR4</t>
  </si>
  <si>
    <t>mat</t>
  </si>
  <si>
    <t>pat</t>
  </si>
  <si>
    <t>average</t>
  </si>
  <si>
    <t>mat reads</t>
  </si>
  <si>
    <t>pat reads</t>
  </si>
  <si>
    <t>PpxSn</t>
  </si>
  <si>
    <t>Salmon-mapped</t>
  </si>
  <si>
    <t>Mapped to Pilon13</t>
  </si>
  <si>
    <t>Mapped to A. arenosa reference (Bramiepe et al. 2023 )</t>
  </si>
  <si>
    <t>SnxPp</t>
  </si>
  <si>
    <t>Bowtie-Pilon13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</si>
</sst>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0" xfId="0" applyNumberFormat="1"/>
    <xf numFmtId="3" fontId="0" fillId="0" borderId="1" xfId="0" applyNumberFormat="1" applyBorder="1"/>
    <xf numFmtId="3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0" fillId="0" borderId="0" xfId="0" applyBorder="1"/>
    <xf numFmtId="3" fontId="0" fillId="0" borderId="0" xfId="0" applyNumberForma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EpiHybrids\arenosa_RNA_seq\manuscript\strecnoBIAS-figure_pilon%20vs-MER_august2025.xlsx" TargetMode="External"/><Relationship Id="rId1" Type="http://schemas.openxmlformats.org/officeDocument/2006/relationships/externalLinkPath" Target="/EpiHybrids/arenosa_RNA_seq/manuscript/strecnoBIAS-figure_pilon%20vs-MER_august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6">
          <cell r="B6" t="str">
            <v>mat</v>
          </cell>
          <cell r="C6" t="str">
            <v>mat</v>
          </cell>
          <cell r="D6" t="str">
            <v>mat</v>
          </cell>
          <cell r="E6" t="str">
            <v>mat</v>
          </cell>
          <cell r="F6" t="str">
            <v>pat</v>
          </cell>
          <cell r="G6" t="str">
            <v>pat</v>
          </cell>
          <cell r="H6" t="str">
            <v>pat</v>
          </cell>
          <cell r="I6" t="str">
            <v>pat</v>
          </cell>
        </row>
        <row r="8">
          <cell r="A8" t="str">
            <v>MxS</v>
          </cell>
          <cell r="B8">
            <v>15439451</v>
          </cell>
          <cell r="C8">
            <v>13069146</v>
          </cell>
          <cell r="D8">
            <v>18614991</v>
          </cell>
          <cell r="E8">
            <v>20031321</v>
          </cell>
          <cell r="F8">
            <v>2669156</v>
          </cell>
          <cell r="G8">
            <v>3210087</v>
          </cell>
          <cell r="H8">
            <v>5122069</v>
          </cell>
          <cell r="I8">
            <v>4320927</v>
          </cell>
        </row>
        <row r="10">
          <cell r="B10" t="str">
            <v>S-reads</v>
          </cell>
          <cell r="F10" t="str">
            <v>M-reads</v>
          </cell>
        </row>
        <row r="11">
          <cell r="A11" t="str">
            <v>SxM</v>
          </cell>
          <cell r="B11">
            <v>24905861</v>
          </cell>
          <cell r="C11">
            <v>24570406</v>
          </cell>
          <cell r="D11">
            <v>22233611</v>
          </cell>
          <cell r="E11">
            <v>21005516</v>
          </cell>
          <cell r="F11">
            <v>1100422</v>
          </cell>
          <cell r="G11">
            <v>1039422</v>
          </cell>
          <cell r="H11">
            <v>1197885</v>
          </cell>
          <cell r="I11">
            <v>1256921</v>
          </cell>
        </row>
        <row r="15">
          <cell r="B15" t="str">
            <v>mat reads</v>
          </cell>
          <cell r="C15" t="str">
            <v>pat reads</v>
          </cell>
          <cell r="L15" t="str">
            <v>mat reads</v>
          </cell>
          <cell r="M15" t="str">
            <v>pat reads</v>
          </cell>
        </row>
        <row r="16">
          <cell r="A16" t="str">
            <v>MxS</v>
          </cell>
          <cell r="B16">
            <v>16788727.25</v>
          </cell>
          <cell r="C16">
            <v>3830559.75</v>
          </cell>
          <cell r="L16">
            <v>30507119.75</v>
          </cell>
          <cell r="M16">
            <v>2330977.25</v>
          </cell>
        </row>
        <row r="17">
          <cell r="A17" t="str">
            <v>SxM</v>
          </cell>
          <cell r="B17">
            <v>23178848.5</v>
          </cell>
          <cell r="C17">
            <v>1148662.5</v>
          </cell>
          <cell r="L17">
            <v>24665247.75</v>
          </cell>
          <cell r="M17">
            <v>1659561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FFBD-AB4D-4823-8895-3AFE506CF866}">
  <dimension ref="A1:S29"/>
  <sheetViews>
    <sheetView tabSelected="1" zoomScale="85" zoomScaleNormal="85" workbookViewId="0">
      <selection activeCell="F30" sqref="F30"/>
    </sheetView>
  </sheetViews>
  <sheetFormatPr defaultRowHeight="14.4" x14ac:dyDescent="0.3"/>
  <cols>
    <col min="2" max="2" width="11.109375" bestFit="1" customWidth="1"/>
    <col min="3" max="5" width="9.88671875" bestFit="1" customWidth="1"/>
    <col min="6" max="9" width="9" bestFit="1" customWidth="1"/>
    <col min="10" max="10" width="3.33203125" customWidth="1"/>
    <col min="11" max="11" width="17.6640625" customWidth="1"/>
    <col min="12" max="12" width="12.88671875" customWidth="1"/>
    <col min="13" max="15" width="9.88671875" bestFit="1" customWidth="1"/>
    <col min="16" max="19" width="9" bestFit="1" customWidth="1"/>
  </cols>
  <sheetData>
    <row r="1" spans="1:19" x14ac:dyDescent="0.3">
      <c r="A1" t="s">
        <v>14</v>
      </c>
      <c r="K1" s="1" t="s">
        <v>15</v>
      </c>
    </row>
    <row r="2" spans="1:19" x14ac:dyDescent="0.3">
      <c r="A2" t="s">
        <v>0</v>
      </c>
      <c r="K2" s="1" t="s">
        <v>1</v>
      </c>
    </row>
    <row r="3" spans="1:19" x14ac:dyDescent="0.3">
      <c r="A3" t="s">
        <v>2</v>
      </c>
      <c r="K3" s="1" t="s">
        <v>2</v>
      </c>
    </row>
    <row r="4" spans="1:19" x14ac:dyDescent="0.3">
      <c r="K4" s="1"/>
    </row>
    <row r="5" spans="1:19" x14ac:dyDescent="0.3">
      <c r="B5" t="s">
        <v>3</v>
      </c>
      <c r="C5" t="s">
        <v>4</v>
      </c>
      <c r="D5" t="s">
        <v>5</v>
      </c>
      <c r="E5" t="s">
        <v>6</v>
      </c>
      <c r="F5" s="1" t="s">
        <v>3</v>
      </c>
      <c r="G5" t="s">
        <v>4</v>
      </c>
      <c r="H5" t="s">
        <v>5</v>
      </c>
      <c r="I5" s="8" t="s">
        <v>6</v>
      </c>
      <c r="K5" s="1"/>
      <c r="L5" t="s">
        <v>3</v>
      </c>
      <c r="M5" t="s">
        <v>4</v>
      </c>
      <c r="N5" t="s">
        <v>5</v>
      </c>
      <c r="O5" t="s">
        <v>6</v>
      </c>
      <c r="P5" s="1" t="s">
        <v>3</v>
      </c>
      <c r="Q5" t="s">
        <v>4</v>
      </c>
      <c r="R5" t="s">
        <v>5</v>
      </c>
      <c r="S5" t="s">
        <v>6</v>
      </c>
    </row>
    <row r="6" spans="1:19" x14ac:dyDescent="0.3">
      <c r="A6" t="s">
        <v>17</v>
      </c>
      <c r="B6" t="s">
        <v>7</v>
      </c>
      <c r="C6" t="s">
        <v>7</v>
      </c>
      <c r="D6" t="s">
        <v>7</v>
      </c>
      <c r="E6" t="s">
        <v>7</v>
      </c>
      <c r="F6" s="1" t="s">
        <v>8</v>
      </c>
      <c r="G6" t="s">
        <v>8</v>
      </c>
      <c r="H6" t="s">
        <v>8</v>
      </c>
      <c r="I6" s="8" t="s">
        <v>8</v>
      </c>
      <c r="J6" s="8"/>
      <c r="K6" s="1" t="s">
        <v>13</v>
      </c>
      <c r="L6" t="s">
        <v>7</v>
      </c>
      <c r="M6" t="s">
        <v>7</v>
      </c>
      <c r="N6" t="s">
        <v>7</v>
      </c>
      <c r="O6" t="s">
        <v>7</v>
      </c>
      <c r="P6" s="1" t="s">
        <v>8</v>
      </c>
      <c r="Q6" t="s">
        <v>8</v>
      </c>
      <c r="R6" t="s">
        <v>8</v>
      </c>
      <c r="S6" t="s">
        <v>8</v>
      </c>
    </row>
    <row r="7" spans="1:19" x14ac:dyDescent="0.3">
      <c r="A7" t="s">
        <v>12</v>
      </c>
      <c r="B7" s="2">
        <v>15439451</v>
      </c>
      <c r="C7" s="2">
        <v>13069146</v>
      </c>
      <c r="D7" s="2">
        <v>18614991</v>
      </c>
      <c r="E7" s="2">
        <v>20031321</v>
      </c>
      <c r="F7" s="3">
        <v>2669156</v>
      </c>
      <c r="G7" s="2">
        <v>3210087</v>
      </c>
      <c r="H7" s="2">
        <v>5122069</v>
      </c>
      <c r="I7" s="9">
        <v>4320927</v>
      </c>
      <c r="K7" s="1" t="s">
        <v>12</v>
      </c>
      <c r="L7" s="2">
        <v>26327913</v>
      </c>
      <c r="M7" s="2">
        <v>24008839</v>
      </c>
      <c r="N7" s="2">
        <v>39472600</v>
      </c>
      <c r="O7" s="2">
        <v>32219127</v>
      </c>
      <c r="P7" s="3">
        <v>1662454</v>
      </c>
      <c r="Q7" s="2">
        <v>2243543</v>
      </c>
      <c r="R7" s="2">
        <v>2514771</v>
      </c>
      <c r="S7" s="2">
        <v>2903141</v>
      </c>
    </row>
    <row r="8" spans="1:19" x14ac:dyDescent="0.3">
      <c r="A8" t="s">
        <v>16</v>
      </c>
      <c r="B8" s="2">
        <v>24905861</v>
      </c>
      <c r="C8" s="2">
        <v>24570406</v>
      </c>
      <c r="D8" s="2">
        <v>22233611</v>
      </c>
      <c r="E8" s="2">
        <v>21005516</v>
      </c>
      <c r="F8" s="3">
        <v>1100422</v>
      </c>
      <c r="G8" s="2">
        <v>1039422</v>
      </c>
      <c r="H8" s="2">
        <v>1197885</v>
      </c>
      <c r="I8" s="9">
        <v>1256921</v>
      </c>
      <c r="K8" s="1" t="s">
        <v>16</v>
      </c>
      <c r="L8" s="2">
        <v>27747652</v>
      </c>
      <c r="M8" s="2">
        <v>28543136</v>
      </c>
      <c r="N8" s="2">
        <v>17925061</v>
      </c>
      <c r="O8" s="2">
        <v>24445142</v>
      </c>
      <c r="P8" s="3">
        <v>1725370</v>
      </c>
      <c r="Q8" s="2">
        <v>1322577</v>
      </c>
      <c r="R8" s="2">
        <v>1956580</v>
      </c>
      <c r="S8" s="2">
        <v>1633717</v>
      </c>
    </row>
    <row r="9" spans="1:19" x14ac:dyDescent="0.3">
      <c r="B9" s="2" t="s">
        <v>9</v>
      </c>
      <c r="C9" s="2"/>
      <c r="D9" s="2"/>
      <c r="E9" s="2"/>
      <c r="F9" s="2"/>
      <c r="G9" s="2"/>
      <c r="H9" s="2"/>
      <c r="I9" s="2"/>
      <c r="K9" s="1"/>
      <c r="L9" s="2" t="s">
        <v>9</v>
      </c>
      <c r="M9" s="2"/>
      <c r="O9" s="2"/>
      <c r="P9" s="9"/>
      <c r="Q9" s="2"/>
      <c r="R9" s="2"/>
      <c r="S9" s="2"/>
    </row>
    <row r="10" spans="1:19" x14ac:dyDescent="0.3">
      <c r="B10" s="2" t="s">
        <v>10</v>
      </c>
      <c r="C10" s="2" t="s">
        <v>11</v>
      </c>
      <c r="E10" s="5"/>
      <c r="G10" s="5"/>
      <c r="H10" s="2"/>
      <c r="I10" s="2"/>
      <c r="K10" s="1"/>
      <c r="L10" s="2" t="s">
        <v>10</v>
      </c>
      <c r="M10" s="2" t="s">
        <v>11</v>
      </c>
    </row>
    <row r="11" spans="1:19" x14ac:dyDescent="0.3">
      <c r="A11" s="1" t="s">
        <v>12</v>
      </c>
      <c r="B11" s="2">
        <f>(B7+C7+D7+E7)/4</f>
        <v>16788727.25</v>
      </c>
      <c r="C11" s="2">
        <f>(F7+G7+H7+I7)/4</f>
        <v>3830559.75</v>
      </c>
      <c r="D11" s="2"/>
      <c r="E11" s="2"/>
      <c r="F11" s="2"/>
      <c r="G11" s="2"/>
      <c r="H11" s="2"/>
      <c r="I11" s="2"/>
      <c r="K11" s="1" t="s">
        <v>12</v>
      </c>
      <c r="L11" s="2">
        <f>(L7+M7+N7+O7)/4</f>
        <v>30507119.75</v>
      </c>
      <c r="M11" s="2">
        <f>(P7+Q7+R7+S7)/4</f>
        <v>2330977.25</v>
      </c>
    </row>
    <row r="12" spans="1:19" x14ac:dyDescent="0.3">
      <c r="A12" t="s">
        <v>16</v>
      </c>
      <c r="B12" s="2">
        <f>(B8+C8+D8+E8)/4</f>
        <v>23178848.5</v>
      </c>
      <c r="C12" s="2">
        <f>(F8+G8+H8+I8)/4</f>
        <v>1148662.5</v>
      </c>
      <c r="D12" s="2"/>
      <c r="E12" s="2"/>
      <c r="F12" s="2"/>
      <c r="G12" s="2"/>
      <c r="H12" s="2"/>
      <c r="I12" s="2"/>
      <c r="K12" s="1" t="s">
        <v>16</v>
      </c>
      <c r="L12" s="2">
        <f>(L8+M8+N8+O8)/4</f>
        <v>24665247.75</v>
      </c>
      <c r="M12" s="2">
        <f>(P8+Q8+R8+S8)/4</f>
        <v>1659561</v>
      </c>
    </row>
    <row r="13" spans="1:19" x14ac:dyDescent="0.3">
      <c r="B13" s="2"/>
      <c r="K13" s="1"/>
    </row>
    <row r="14" spans="1:19" x14ac:dyDescent="0.3">
      <c r="O14" s="6"/>
      <c r="P14" s="7"/>
      <c r="Q14" s="6"/>
    </row>
    <row r="15" spans="1:19" x14ac:dyDescent="0.3">
      <c r="O15" s="5"/>
      <c r="Q15" s="5"/>
    </row>
    <row r="18" spans="2:13" x14ac:dyDescent="0.3">
      <c r="B18" s="2"/>
      <c r="K18" s="7"/>
      <c r="L18" s="4"/>
      <c r="M18" s="7"/>
    </row>
    <row r="19" spans="2:13" x14ac:dyDescent="0.3">
      <c r="B19" s="2"/>
      <c r="C19" s="2"/>
      <c r="J19" s="8"/>
      <c r="K19" s="10"/>
      <c r="L19" s="4"/>
      <c r="M19" s="4"/>
    </row>
    <row r="20" spans="2:13" x14ac:dyDescent="0.3">
      <c r="J20" s="8"/>
      <c r="K20" s="10"/>
      <c r="L20" s="7"/>
      <c r="M20" s="7"/>
    </row>
    <row r="21" spans="2:13" x14ac:dyDescent="0.3">
      <c r="J21" s="8"/>
      <c r="K21" s="10"/>
      <c r="L21" s="7"/>
      <c r="M21" s="7"/>
    </row>
    <row r="22" spans="2:13" x14ac:dyDescent="0.3">
      <c r="J22" s="8"/>
      <c r="K22" s="8"/>
    </row>
    <row r="23" spans="2:13" x14ac:dyDescent="0.3">
      <c r="J23" s="8"/>
      <c r="K23" s="8"/>
      <c r="L23" s="2"/>
    </row>
    <row r="24" spans="2:13" x14ac:dyDescent="0.3">
      <c r="J24" s="8"/>
      <c r="K24" s="8"/>
      <c r="L24" s="2"/>
      <c r="M24" s="2"/>
    </row>
    <row r="25" spans="2:13" x14ac:dyDescent="0.3">
      <c r="J25" s="8"/>
      <c r="K25" s="8"/>
    </row>
    <row r="26" spans="2:13" x14ac:dyDescent="0.3">
      <c r="J26" s="8"/>
      <c r="K26" s="8"/>
    </row>
    <row r="27" spans="2:13" x14ac:dyDescent="0.3">
      <c r="J27" s="8"/>
      <c r="K27" s="8"/>
    </row>
    <row r="28" spans="2:13" x14ac:dyDescent="0.3">
      <c r="J28" s="8"/>
      <c r="K28" s="8"/>
    </row>
    <row r="29" spans="2:13" x14ac:dyDescent="0.3">
      <c r="J29" s="8"/>
      <c r="K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2025-09-11T15:53:13Z</dcterms:created>
  <dcterms:modified xsi:type="dcterms:W3CDTF">2025-09-11T16:00:18Z</dcterms:modified>
</cp:coreProperties>
</file>