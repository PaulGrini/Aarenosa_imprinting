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Data_Files\"/>
    </mc:Choice>
  </mc:AlternateContent>
  <xr:revisionPtr revIDLastSave="0" documentId="13_ncr:1_{EC8E9E3D-465B-44D7-A862-D96C9A843972}" xr6:coauthVersionLast="47" xr6:coauthVersionMax="47" xr10:uidLastSave="{00000000-0000-0000-0000-000000000000}"/>
  <bookViews>
    <workbookView xWindow="2616" yWindow="2616" windowWidth="17280" windowHeight="9960" xr2:uid="{5CE1ADC0-A8DA-44CE-B82A-401C132C3B6F}"/>
  </bookViews>
  <sheets>
    <sheet name="SDat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M30" i="1" s="1"/>
  <c r="E31" i="1"/>
  <c r="I25" i="1"/>
  <c r="M23" i="1" s="1"/>
  <c r="E25" i="1"/>
  <c r="I15" i="1"/>
  <c r="E15" i="1"/>
  <c r="I8" i="1"/>
  <c r="E8" i="1"/>
  <c r="K14" i="1"/>
  <c r="K13" i="1"/>
  <c r="K12" i="1"/>
  <c r="K11" i="1"/>
  <c r="K7" i="1"/>
  <c r="K6" i="1"/>
  <c r="K5" i="1"/>
  <c r="K4" i="1"/>
  <c r="K30" i="1"/>
  <c r="K29" i="1"/>
  <c r="K28" i="1"/>
  <c r="K27" i="1"/>
  <c r="K22" i="1"/>
  <c r="K23" i="1"/>
  <c r="K24" i="1"/>
  <c r="K21" i="1"/>
  <c r="M21" i="1" l="1"/>
  <c r="M27" i="1"/>
  <c r="M24" i="1"/>
  <c r="M28" i="1"/>
  <c r="M22" i="1"/>
  <c r="M29" i="1"/>
</calcChain>
</file>

<file path=xl/sharedStrings.xml><?xml version="1.0" encoding="utf-8"?>
<sst xmlns="http://schemas.openxmlformats.org/spreadsheetml/2006/main" count="85" uniqueCount="60">
  <si>
    <t>(100.00%)</t>
  </si>
  <si>
    <t>(59.36%)</t>
  </si>
  <si>
    <t>(40.64%)</t>
  </si>
  <si>
    <t>(58.82%)</t>
  </si>
  <si>
    <t>(41.18%)</t>
  </si>
  <si>
    <t>(55.89%)</t>
  </si>
  <si>
    <t>(44.11%)</t>
  </si>
  <si>
    <t>(55.87%)</t>
  </si>
  <si>
    <t>(44.13%)</t>
  </si>
  <si>
    <t>(60.94%)</t>
  </si>
  <si>
    <t>(39.06%)</t>
  </si>
  <si>
    <t>(61.71%)</t>
  </si>
  <si>
    <t>(38.29%)</t>
  </si>
  <si>
    <t>(56.74%)</t>
  </si>
  <si>
    <t>(43.26%)</t>
  </si>
  <si>
    <t>(60.52%)</t>
  </si>
  <si>
    <t>(39.48%)</t>
  </si>
  <si>
    <t>0 times</t>
  </si>
  <si>
    <t>exactly one time</t>
  </si>
  <si>
    <t>NORMALIZATION FACTORS</t>
  </si>
  <si>
    <t>average</t>
  </si>
  <si>
    <t>Bowtie BEST1</t>
  </si>
  <si>
    <t>total number of read pairs</t>
  </si>
  <si>
    <t>Pilon 13 maps for Homozygous</t>
  </si>
  <si>
    <t>(34.97%)</t>
  </si>
  <si>
    <t>(65.03%)</t>
  </si>
  <si>
    <t>pairs</t>
  </si>
  <si>
    <t>single reads</t>
  </si>
  <si>
    <t>(39.83%)</t>
  </si>
  <si>
    <t>(60.17%)</t>
  </si>
  <si>
    <t>(40.40%)</t>
  </si>
  <si>
    <t>(59.60%)</t>
  </si>
  <si>
    <t>(44.66%)</t>
  </si>
  <si>
    <t>(55.34%)</t>
  </si>
  <si>
    <t>(36.56%)</t>
  </si>
  <si>
    <t>(63.44%)</t>
  </si>
  <si>
    <t>(34.01%)</t>
  </si>
  <si>
    <t>(65.99%)</t>
  </si>
  <si>
    <t>(41.95%)</t>
  </si>
  <si>
    <t>(58.05%)</t>
  </si>
  <si>
    <t>(41.43%)</t>
  </si>
  <si>
    <t>(58.57%)</t>
  </si>
  <si>
    <t>Bowtie2-BEST1</t>
  </si>
  <si>
    <t>Pilon 13 maps for Heterozygous</t>
  </si>
  <si>
    <t>MxM_BR2</t>
  </si>
  <si>
    <t>MxM_BR1</t>
  </si>
  <si>
    <t>MxM_BR3</t>
  </si>
  <si>
    <t>MxM_BR4</t>
  </si>
  <si>
    <t>SxS_BR1</t>
  </si>
  <si>
    <t>SxS_BR2</t>
  </si>
  <si>
    <t>SxS_BR3</t>
  </si>
  <si>
    <t>SxS_BR4</t>
  </si>
  <si>
    <t>MxS_BR3</t>
  </si>
  <si>
    <t>MxS_BR4</t>
  </si>
  <si>
    <t>SxM_BR1</t>
  </si>
  <si>
    <t>SxM_BR2</t>
  </si>
  <si>
    <t>SxM_BR3</t>
  </si>
  <si>
    <t>SxM_BR4</t>
  </si>
  <si>
    <t>MxS_BR1</t>
  </si>
  <si>
    <t>MxS_BR2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</si>
</sst>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46" fontId="0" fillId="0" borderId="0" xfId="0" applyNumberFormat="1"/>
    <xf numFmtId="3" fontId="0" fillId="0" borderId="0" xfId="0" applyNumberFormat="1"/>
    <xf numFmtId="16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1647-E7B6-461C-ACF3-509079D0C942}">
  <dimension ref="A1:M42"/>
  <sheetViews>
    <sheetView tabSelected="1" workbookViewId="0">
      <selection activeCell="M3" sqref="M3"/>
    </sheetView>
  </sheetViews>
  <sheetFormatPr defaultRowHeight="14.4" x14ac:dyDescent="0.3"/>
  <cols>
    <col min="4" max="4" width="13.109375" customWidth="1"/>
    <col min="5" max="5" width="22.6640625" customWidth="1"/>
    <col min="7" max="7" width="9.88671875" bestFit="1" customWidth="1"/>
    <col min="9" max="9" width="13.21875" customWidth="1"/>
    <col min="11" max="11" width="13.5546875" customWidth="1"/>
  </cols>
  <sheetData>
    <row r="1" spans="2:11" x14ac:dyDescent="0.3">
      <c r="D1" t="s">
        <v>23</v>
      </c>
    </row>
    <row r="2" spans="2:11" x14ac:dyDescent="0.3">
      <c r="I2" t="s">
        <v>26</v>
      </c>
    </row>
    <row r="3" spans="2:11" x14ac:dyDescent="0.3">
      <c r="B3" t="s">
        <v>42</v>
      </c>
      <c r="E3" t="s">
        <v>22</v>
      </c>
      <c r="G3" t="s">
        <v>17</v>
      </c>
      <c r="I3" t="s">
        <v>18</v>
      </c>
      <c r="K3" t="s">
        <v>27</v>
      </c>
    </row>
    <row r="4" spans="2:11" x14ac:dyDescent="0.3">
      <c r="D4" t="s">
        <v>45</v>
      </c>
      <c r="E4" s="2">
        <v>101690146</v>
      </c>
      <c r="F4" t="s">
        <v>0</v>
      </c>
      <c r="G4" s="2">
        <v>35563393</v>
      </c>
      <c r="H4" t="s">
        <v>24</v>
      </c>
      <c r="I4" s="2">
        <v>66126753</v>
      </c>
      <c r="J4" t="s">
        <v>25</v>
      </c>
      <c r="K4" s="2">
        <f>I4*2</f>
        <v>132253506</v>
      </c>
    </row>
    <row r="5" spans="2:11" x14ac:dyDescent="0.3">
      <c r="D5" t="s">
        <v>44</v>
      </c>
      <c r="E5" s="2">
        <v>101890180</v>
      </c>
      <c r="F5" t="s">
        <v>0</v>
      </c>
      <c r="G5" s="2">
        <v>40579243</v>
      </c>
      <c r="H5" t="s">
        <v>28</v>
      </c>
      <c r="I5" s="2">
        <v>61310937</v>
      </c>
      <c r="J5" t="s">
        <v>29</v>
      </c>
      <c r="K5" s="2">
        <f>I5*2</f>
        <v>122621874</v>
      </c>
    </row>
    <row r="6" spans="2:11" x14ac:dyDescent="0.3">
      <c r="D6" t="s">
        <v>46</v>
      </c>
      <c r="E6" s="2">
        <v>67430934</v>
      </c>
      <c r="F6" t="s">
        <v>0</v>
      </c>
      <c r="G6" s="2">
        <v>27240672</v>
      </c>
      <c r="H6" t="s">
        <v>30</v>
      </c>
      <c r="I6" s="2">
        <v>40190262</v>
      </c>
      <c r="J6" t="s">
        <v>31</v>
      </c>
      <c r="K6" s="2">
        <f>I6*2</f>
        <v>80380524</v>
      </c>
    </row>
    <row r="7" spans="2:11" x14ac:dyDescent="0.3">
      <c r="D7" t="s">
        <v>47</v>
      </c>
      <c r="E7" s="2">
        <v>74355589</v>
      </c>
      <c r="F7" t="s">
        <v>0</v>
      </c>
      <c r="G7" s="2">
        <v>33204108</v>
      </c>
      <c r="H7" t="s">
        <v>32</v>
      </c>
      <c r="I7" s="2">
        <v>41151481</v>
      </c>
      <c r="J7" t="s">
        <v>33</v>
      </c>
      <c r="K7" s="2">
        <f>I7*2</f>
        <v>82302962</v>
      </c>
    </row>
    <row r="8" spans="2:11" x14ac:dyDescent="0.3">
      <c r="D8" t="s">
        <v>20</v>
      </c>
      <c r="E8" s="2">
        <f>AVERAGE(E4:E7)</f>
        <v>86341712.25</v>
      </c>
      <c r="G8" s="2"/>
      <c r="H8" t="s">
        <v>20</v>
      </c>
      <c r="I8" s="2">
        <f>AVERAGE(I4:I7)</f>
        <v>52194858.25</v>
      </c>
      <c r="K8" s="2"/>
    </row>
    <row r="9" spans="2:11" x14ac:dyDescent="0.3">
      <c r="J9" s="4"/>
      <c r="K9" s="2"/>
    </row>
    <row r="10" spans="2:11" x14ac:dyDescent="0.3">
      <c r="G10" s="2"/>
      <c r="K10" s="2"/>
    </row>
    <row r="11" spans="2:11" x14ac:dyDescent="0.3">
      <c r="D11" t="s">
        <v>48</v>
      </c>
      <c r="E11" s="2">
        <v>86441047</v>
      </c>
      <c r="F11" t="s">
        <v>0</v>
      </c>
      <c r="G11" s="2">
        <v>31602305</v>
      </c>
      <c r="H11" t="s">
        <v>34</v>
      </c>
      <c r="I11" s="2">
        <v>54838742</v>
      </c>
      <c r="J11" t="s">
        <v>35</v>
      </c>
      <c r="K11" s="2">
        <f>I11*2</f>
        <v>109677484</v>
      </c>
    </row>
    <row r="12" spans="2:11" x14ac:dyDescent="0.3">
      <c r="D12" t="s">
        <v>49</v>
      </c>
      <c r="E12" s="2">
        <v>126323942</v>
      </c>
      <c r="F12" t="s">
        <v>0</v>
      </c>
      <c r="G12" s="2">
        <v>42967415</v>
      </c>
      <c r="H12" t="s">
        <v>36</v>
      </c>
      <c r="I12" s="2">
        <v>83356527</v>
      </c>
      <c r="J12" t="s">
        <v>37</v>
      </c>
      <c r="K12" s="2">
        <f>I12*2</f>
        <v>166713054</v>
      </c>
    </row>
    <row r="13" spans="2:11" x14ac:dyDescent="0.3">
      <c r="D13" t="s">
        <v>50</v>
      </c>
      <c r="E13" s="2">
        <v>83460096</v>
      </c>
      <c r="F13" t="s">
        <v>0</v>
      </c>
      <c r="G13" s="2">
        <v>35009726</v>
      </c>
      <c r="H13" t="s">
        <v>38</v>
      </c>
      <c r="I13" s="2">
        <v>48450370</v>
      </c>
      <c r="J13" t="s">
        <v>39</v>
      </c>
      <c r="K13" s="2">
        <f>I13*2</f>
        <v>96900740</v>
      </c>
    </row>
    <row r="14" spans="2:11" x14ac:dyDescent="0.3">
      <c r="D14" t="s">
        <v>51</v>
      </c>
      <c r="E14" s="2">
        <v>104549005</v>
      </c>
      <c r="F14" t="s">
        <v>0</v>
      </c>
      <c r="G14" s="2">
        <v>43319515</v>
      </c>
      <c r="H14" t="s">
        <v>40</v>
      </c>
      <c r="I14" s="2">
        <v>61229490</v>
      </c>
      <c r="J14" t="s">
        <v>41</v>
      </c>
      <c r="K14" s="2">
        <f>I14*2</f>
        <v>122458980</v>
      </c>
    </row>
    <row r="15" spans="2:11" x14ac:dyDescent="0.3">
      <c r="D15" t="s">
        <v>20</v>
      </c>
      <c r="E15" s="2">
        <f>AVERAGE(E11:E14)</f>
        <v>100193522.5</v>
      </c>
      <c r="G15" s="2"/>
      <c r="H15" t="s">
        <v>20</v>
      </c>
      <c r="I15" s="2">
        <f>AVERAGE(I11:I14)</f>
        <v>61968782.25</v>
      </c>
    </row>
    <row r="16" spans="2:11" x14ac:dyDescent="0.3">
      <c r="E16" s="2"/>
      <c r="I16" s="3"/>
      <c r="J16" s="4"/>
    </row>
    <row r="17" spans="1:13" x14ac:dyDescent="0.3">
      <c r="E17" s="2"/>
      <c r="G17" s="2"/>
      <c r="I17" s="2"/>
      <c r="K17" s="2"/>
    </row>
    <row r="19" spans="1:13" x14ac:dyDescent="0.3">
      <c r="D19" t="s">
        <v>43</v>
      </c>
    </row>
    <row r="20" spans="1:13" x14ac:dyDescent="0.3">
      <c r="E20" t="s">
        <v>22</v>
      </c>
      <c r="G20" t="s">
        <v>17</v>
      </c>
      <c r="I20" t="s">
        <v>18</v>
      </c>
      <c r="M20" t="s">
        <v>19</v>
      </c>
    </row>
    <row r="21" spans="1:13" x14ac:dyDescent="0.3">
      <c r="B21" t="s">
        <v>21</v>
      </c>
      <c r="D21" t="s">
        <v>58</v>
      </c>
      <c r="E21" s="2">
        <v>73327360</v>
      </c>
      <c r="F21" t="s">
        <v>0</v>
      </c>
      <c r="G21" s="2">
        <v>43524469</v>
      </c>
      <c r="H21" t="s">
        <v>1</v>
      </c>
      <c r="I21" s="2">
        <v>29802891</v>
      </c>
      <c r="J21" t="s">
        <v>2</v>
      </c>
      <c r="K21" s="2">
        <f>I21*2</f>
        <v>59605782</v>
      </c>
      <c r="M21">
        <f>$I$25/I21</f>
        <v>1.2119588163443606</v>
      </c>
    </row>
    <row r="22" spans="1:13" x14ac:dyDescent="0.3">
      <c r="D22" t="s">
        <v>59</v>
      </c>
      <c r="E22" s="2">
        <v>70837283</v>
      </c>
      <c r="F22" t="s">
        <v>0</v>
      </c>
      <c r="G22" s="2">
        <v>41669474</v>
      </c>
      <c r="H22" t="s">
        <v>3</v>
      </c>
      <c r="I22" s="2">
        <v>29167809</v>
      </c>
      <c r="J22" t="s">
        <v>4</v>
      </c>
      <c r="K22" s="2">
        <f t="shared" ref="K22:K24" si="0">I22*2</f>
        <v>58335618</v>
      </c>
      <c r="M22">
        <f>$I$25/I22</f>
        <v>1.2383472649591198</v>
      </c>
    </row>
    <row r="23" spans="1:13" x14ac:dyDescent="0.3">
      <c r="D23" t="s">
        <v>52</v>
      </c>
      <c r="E23" s="2">
        <v>98262199</v>
      </c>
      <c r="F23" t="s">
        <v>0</v>
      </c>
      <c r="G23" s="2">
        <v>54923378</v>
      </c>
      <c r="H23" t="s">
        <v>5</v>
      </c>
      <c r="I23" s="2">
        <v>43338821</v>
      </c>
      <c r="J23" t="s">
        <v>6</v>
      </c>
      <c r="K23" s="2">
        <f t="shared" si="0"/>
        <v>86677642</v>
      </c>
      <c r="M23">
        <f>$I$25/I23</f>
        <v>0.83343006723694679</v>
      </c>
    </row>
    <row r="24" spans="1:13" x14ac:dyDescent="0.3">
      <c r="D24" t="s">
        <v>53</v>
      </c>
      <c r="E24" s="2">
        <v>95548637</v>
      </c>
      <c r="F24" t="s">
        <v>0</v>
      </c>
      <c r="G24" s="2">
        <v>53378652</v>
      </c>
      <c r="H24" t="s">
        <v>7</v>
      </c>
      <c r="I24" s="2">
        <v>42169985</v>
      </c>
      <c r="J24" t="s">
        <v>8</v>
      </c>
      <c r="K24" s="2">
        <f t="shared" si="0"/>
        <v>84339970</v>
      </c>
      <c r="M24">
        <f>$I$25/I24</f>
        <v>0.85653045643720294</v>
      </c>
    </row>
    <row r="25" spans="1:13" x14ac:dyDescent="0.3">
      <c r="A25" s="1"/>
      <c r="D25" t="s">
        <v>20</v>
      </c>
      <c r="E25" s="2">
        <f>AVERAGE(E21:E24)</f>
        <v>84493869.75</v>
      </c>
      <c r="G25" s="2"/>
      <c r="H25" t="s">
        <v>20</v>
      </c>
      <c r="I25" s="2">
        <f>AVERAGE(I21:I24)</f>
        <v>36119876.5</v>
      </c>
      <c r="K25" s="2"/>
    </row>
    <row r="26" spans="1:13" x14ac:dyDescent="0.3">
      <c r="A26" s="1"/>
      <c r="I26" s="2"/>
      <c r="K26" s="2"/>
    </row>
    <row r="27" spans="1:13" x14ac:dyDescent="0.3">
      <c r="D27" t="s">
        <v>54</v>
      </c>
      <c r="E27" s="2">
        <v>96339811</v>
      </c>
      <c r="F27" t="s">
        <v>0</v>
      </c>
      <c r="G27" s="2">
        <v>58709848</v>
      </c>
      <c r="H27" t="s">
        <v>9</v>
      </c>
      <c r="I27" s="2">
        <v>37629963</v>
      </c>
      <c r="J27" t="s">
        <v>10</v>
      </c>
      <c r="K27" s="2">
        <f>I27*2</f>
        <v>75259926</v>
      </c>
      <c r="M27">
        <f>$I$31/I27</f>
        <v>0.93166324665267408</v>
      </c>
    </row>
    <row r="28" spans="1:13" x14ac:dyDescent="0.3">
      <c r="D28" t="s">
        <v>55</v>
      </c>
      <c r="E28" s="2">
        <v>98092919</v>
      </c>
      <c r="F28" t="s">
        <v>0</v>
      </c>
      <c r="G28" s="2">
        <v>60530437</v>
      </c>
      <c r="H28" t="s">
        <v>11</v>
      </c>
      <c r="I28" s="2">
        <v>37562482</v>
      </c>
      <c r="J28" t="s">
        <v>12</v>
      </c>
      <c r="K28" s="2">
        <f>I28*2</f>
        <v>75124964</v>
      </c>
      <c r="M28">
        <f>$I$31/I28</f>
        <v>0.93333697970224649</v>
      </c>
    </row>
    <row r="29" spans="1:13" x14ac:dyDescent="0.3">
      <c r="D29" t="s">
        <v>56</v>
      </c>
      <c r="E29" s="2">
        <v>77391801</v>
      </c>
      <c r="F29" t="s">
        <v>0</v>
      </c>
      <c r="G29" s="2">
        <v>43912630</v>
      </c>
      <c r="H29" t="s">
        <v>13</v>
      </c>
      <c r="I29" s="2">
        <v>33479171</v>
      </c>
      <c r="J29" t="s">
        <v>14</v>
      </c>
      <c r="K29" s="2">
        <f>I29*2</f>
        <v>66958342</v>
      </c>
      <c r="M29">
        <f>$I$31/I29</f>
        <v>1.047172090969636</v>
      </c>
    </row>
    <row r="30" spans="1:13" x14ac:dyDescent="0.3">
      <c r="D30" t="s">
        <v>57</v>
      </c>
      <c r="E30" s="2">
        <v>79945115</v>
      </c>
      <c r="F30" t="s">
        <v>0</v>
      </c>
      <c r="G30" s="2">
        <v>48382917</v>
      </c>
      <c r="H30" t="s">
        <v>15</v>
      </c>
      <c r="I30" s="2">
        <v>31562198</v>
      </c>
      <c r="J30" t="s">
        <v>16</v>
      </c>
      <c r="K30" s="2">
        <f>I30*2</f>
        <v>63124396</v>
      </c>
      <c r="M30">
        <f>$I$31/I30</f>
        <v>1.1107735114012021</v>
      </c>
    </row>
    <row r="31" spans="1:13" x14ac:dyDescent="0.3">
      <c r="D31" t="s">
        <v>20</v>
      </c>
      <c r="E31" s="2">
        <f>AVERAGE(E27:E30)</f>
        <v>87942411.5</v>
      </c>
      <c r="G31" s="2"/>
      <c r="H31" t="s">
        <v>20</v>
      </c>
      <c r="I31" s="2">
        <f>AVERAGE(I27:I30)</f>
        <v>35058453.5</v>
      </c>
    </row>
    <row r="42" spans="4:10" x14ac:dyDescent="0.3">
      <c r="D42" s="2"/>
      <c r="F42" s="2"/>
      <c r="H42" s="2"/>
      <c r="J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2024-10-24T17:54:12Z</dcterms:created>
  <dcterms:modified xsi:type="dcterms:W3CDTF">2025-09-10T20:05:25Z</dcterms:modified>
</cp:coreProperties>
</file>