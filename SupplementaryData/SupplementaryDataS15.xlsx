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1714BE44-0768-4B08-967B-379E59A2BE19}" xr6:coauthVersionLast="47" xr6:coauthVersionMax="47" xr10:uidLastSave="{00000000-0000-0000-0000-000000000000}"/>
  <bookViews>
    <workbookView xWindow="44475" yWindow="4155" windowWidth="23235" windowHeight="12225" xr2:uid="{8F6D8E62-F122-43C8-A6BA-5C0E83E29BA8}"/>
  </bookViews>
  <sheets>
    <sheet name="SData S15" sheetId="4" r:id="rId1"/>
    <sheet name="Intersections" sheetId="3" r:id="rId2"/>
    <sheet name="biased-unbiased" sheetId="6" r:id="rId3"/>
    <sheet name="Fractions" sheetId="5" r:id="rId4"/>
    <sheet name="Reference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K22" i="5"/>
  <c r="K30" i="5"/>
  <c r="K28" i="5"/>
  <c r="K24" i="5"/>
  <c r="E30" i="5"/>
  <c r="E28" i="5"/>
  <c r="E26" i="5"/>
  <c r="E24" i="5"/>
  <c r="K16" i="5"/>
  <c r="K15" i="5"/>
  <c r="E16" i="5"/>
  <c r="E15" i="5"/>
  <c r="H44" i="5"/>
  <c r="H42" i="5"/>
  <c r="L3" i="5"/>
  <c r="L10" i="5"/>
  <c r="F10" i="5"/>
  <c r="L9" i="5"/>
  <c r="F9" i="5"/>
  <c r="L8" i="5"/>
  <c r="F8" i="5"/>
  <c r="L7" i="5"/>
  <c r="F7" i="5"/>
  <c r="L6" i="5"/>
  <c r="F6" i="5"/>
  <c r="L5" i="5"/>
  <c r="F5" i="5"/>
  <c r="F3" i="5"/>
</calcChain>
</file>

<file path=xl/sharedStrings.xml><?xml version="1.0" encoding="utf-8"?>
<sst xmlns="http://schemas.openxmlformats.org/spreadsheetml/2006/main" count="593" uniqueCount="383">
  <si>
    <t>AT1G03445</t>
  </si>
  <si>
    <t>AT4G24650</t>
  </si>
  <si>
    <t>AT1G17770</t>
  </si>
  <si>
    <t>AT1G07705</t>
  </si>
  <si>
    <t>AT1G59890</t>
  </si>
  <si>
    <t>AT2G21450</t>
  </si>
  <si>
    <t>AT3G20750</t>
  </si>
  <si>
    <t>AT3G13010</t>
  </si>
  <si>
    <t>AT1G08600</t>
  </si>
  <si>
    <t>AT4G23110</t>
  </si>
  <si>
    <t>AT4G05470</t>
  </si>
  <si>
    <t>AT5G27670</t>
  </si>
  <si>
    <t>AT1G23320</t>
  </si>
  <si>
    <t>AT4G14580</t>
  </si>
  <si>
    <t>AT1G35183</t>
  </si>
  <si>
    <t>AT1G67390</t>
  </si>
  <si>
    <t>AT1G47500</t>
  </si>
  <si>
    <t>AT1G70430</t>
  </si>
  <si>
    <t>AT3G14205</t>
  </si>
  <si>
    <t>AT1G48910</t>
  </si>
  <si>
    <t>AT3G15210</t>
  </si>
  <si>
    <t>AT2G40520</t>
  </si>
  <si>
    <t>AT1G54440</t>
  </si>
  <si>
    <t>AT5G39700</t>
  </si>
  <si>
    <t>AT1G70560</t>
  </si>
  <si>
    <t>AT1G56400</t>
  </si>
  <si>
    <t>AT5G44220</t>
  </si>
  <si>
    <t>AT1G57800</t>
  </si>
  <si>
    <t>AT1G57820</t>
  </si>
  <si>
    <t>AT1G17110</t>
  </si>
  <si>
    <t>AT1G60400</t>
  </si>
  <si>
    <t>AT3G47030</t>
  </si>
  <si>
    <t>AT5G10950</t>
  </si>
  <si>
    <t>AT3G60350</t>
  </si>
  <si>
    <t>AT1G66040</t>
  </si>
  <si>
    <t>AT3G15340</t>
  </si>
  <si>
    <t>AT1G66630</t>
  </si>
  <si>
    <t>AT3G49770</t>
  </si>
  <si>
    <t>AT3G50720</t>
  </si>
  <si>
    <t>AT5G54530</t>
  </si>
  <si>
    <t>AT2G20170</t>
  </si>
  <si>
    <t>AT2G21930</t>
  </si>
  <si>
    <t>AT2G32370</t>
  </si>
  <si>
    <t>AT2G24696</t>
  </si>
  <si>
    <t>AT2G36560</t>
  </si>
  <si>
    <t>AT4G31900</t>
  </si>
  <si>
    <t>AT3G11310</t>
  </si>
  <si>
    <t>AT2G38195</t>
  </si>
  <si>
    <t>AT4G11400</t>
  </si>
  <si>
    <t>AT4G02733</t>
  </si>
  <si>
    <t>AT5G50490</t>
  </si>
  <si>
    <t>AT3G62230</t>
  </si>
  <si>
    <t>AT5G55080</t>
  </si>
  <si>
    <t>AT4G05475</t>
  </si>
  <si>
    <t>AT5G62110</t>
  </si>
  <si>
    <t>AT5G53150</t>
  </si>
  <si>
    <t>AT4G08535</t>
  </si>
  <si>
    <t>AT5G63740</t>
  </si>
  <si>
    <t>AT4G10160</t>
  </si>
  <si>
    <t>AT5G26210</t>
  </si>
  <si>
    <t>total</t>
  </si>
  <si>
    <t>genes</t>
  </si>
  <si>
    <t>AT5G64430</t>
  </si>
  <si>
    <t>AT5G61340</t>
  </si>
  <si>
    <t>AT5G59310</t>
  </si>
  <si>
    <t>AT5G58500</t>
  </si>
  <si>
    <t>AT5G58190</t>
  </si>
  <si>
    <t>AT5G54650</t>
  </si>
  <si>
    <t>AT5G48970</t>
  </si>
  <si>
    <t>AT5G48650</t>
  </si>
  <si>
    <t>AT5G40890</t>
  </si>
  <si>
    <t>AT5G40360</t>
  </si>
  <si>
    <t>AT5G23340</t>
  </si>
  <si>
    <t>AT5G22020</t>
  </si>
  <si>
    <t>AT5G21150</t>
  </si>
  <si>
    <t>AT5G18550</t>
  </si>
  <si>
    <t>AT5G17320</t>
  </si>
  <si>
    <t>AT5G13930</t>
  </si>
  <si>
    <t>AT5G07990</t>
  </si>
  <si>
    <t>AT5G07220</t>
  </si>
  <si>
    <t>AT5G05270</t>
  </si>
  <si>
    <t>AT5G04560</t>
  </si>
  <si>
    <t>AT5G02880</t>
  </si>
  <si>
    <t>AT4G39955</t>
  </si>
  <si>
    <t>AT4G34050</t>
  </si>
  <si>
    <t>AT4G32850</t>
  </si>
  <si>
    <t>AT4G31060</t>
  </si>
  <si>
    <t>AT4G27435</t>
  </si>
  <si>
    <t>AT4G21430</t>
  </si>
  <si>
    <t>AT4G20320</t>
  </si>
  <si>
    <t>AT4G18070</t>
  </si>
  <si>
    <t>AT4G14440</t>
  </si>
  <si>
    <t>AT4G12900</t>
  </si>
  <si>
    <t>AT4G09960</t>
  </si>
  <si>
    <t>AT4G09030</t>
  </si>
  <si>
    <t>AT4G04580</t>
  </si>
  <si>
    <t>AT4G00730</t>
  </si>
  <si>
    <t>AT4G00550</t>
  </si>
  <si>
    <t>AT4G00220</t>
  </si>
  <si>
    <t>AT3G62730</t>
  </si>
  <si>
    <t>AT3G54140</t>
  </si>
  <si>
    <t>AT3G51240</t>
  </si>
  <si>
    <t>AT3G44460</t>
  </si>
  <si>
    <t>AT3G28917</t>
  </si>
  <si>
    <t>AT3G26440</t>
  </si>
  <si>
    <t>AT3G23060</t>
  </si>
  <si>
    <t>AT3G20620</t>
  </si>
  <si>
    <t>AT1G31814</t>
  </si>
  <si>
    <t>AT3G20520</t>
  </si>
  <si>
    <t>AT3G17250</t>
  </si>
  <si>
    <t>AT2G01150</t>
  </si>
  <si>
    <t>AT3G08620</t>
  </si>
  <si>
    <t>AT3G03150</t>
  </si>
  <si>
    <t>AT1G54570</t>
  </si>
  <si>
    <t>AT3G01060</t>
  </si>
  <si>
    <t>AT5G65000</t>
  </si>
  <si>
    <t>AT1G71100</t>
  </si>
  <si>
    <t>AT2G46960</t>
  </si>
  <si>
    <t>AT2G43060</t>
  </si>
  <si>
    <t>AT5G06320</t>
  </si>
  <si>
    <t>AT2G42830</t>
  </si>
  <si>
    <t>AT5G57740</t>
  </si>
  <si>
    <t>AT2G42430</t>
  </si>
  <si>
    <t>AT2G41040</t>
  </si>
  <si>
    <t>AT4G24690</t>
  </si>
  <si>
    <t>AT2G39650</t>
  </si>
  <si>
    <t>AT2G35760</t>
  </si>
  <si>
    <t>AT5G13090</t>
  </si>
  <si>
    <t>AT2G35670</t>
  </si>
  <si>
    <t>AT2G37980</t>
  </si>
  <si>
    <t>AT2G34880</t>
  </si>
  <si>
    <t>AT2G32750</t>
  </si>
  <si>
    <t>AT2G31360</t>
  </si>
  <si>
    <t>AT1G75950</t>
  </si>
  <si>
    <t>AT2G30590</t>
  </si>
  <si>
    <t>AT2G26280</t>
  </si>
  <si>
    <t>AT3G50260</t>
  </si>
  <si>
    <t>AT2G23550</t>
  </si>
  <si>
    <t>AT2G21420</t>
  </si>
  <si>
    <t>AT2G17710</t>
  </si>
  <si>
    <t>AT5G56370</t>
  </si>
  <si>
    <t>AT2G17690</t>
  </si>
  <si>
    <t>AT1G24330</t>
  </si>
  <si>
    <t>AT1G77960</t>
  </si>
  <si>
    <t>AT2G43050</t>
  </si>
  <si>
    <t>AT1G77000</t>
  </si>
  <si>
    <t>AT2G36320</t>
  </si>
  <si>
    <t>AT1G76250</t>
  </si>
  <si>
    <t>AT1G73080</t>
  </si>
  <si>
    <t>AT4G30640</t>
  </si>
  <si>
    <t>AT1G70580</t>
  </si>
  <si>
    <t>AT2G33830</t>
  </si>
  <si>
    <t>AT1G78390</t>
  </si>
  <si>
    <t>AT1G35720</t>
  </si>
  <si>
    <t>AT1G61255</t>
  </si>
  <si>
    <t>AT1G20730</t>
  </si>
  <si>
    <t>AT1G55650</t>
  </si>
  <si>
    <t>AT2G23580</t>
  </si>
  <si>
    <t>AT1G71770</t>
  </si>
  <si>
    <t>AT1G19160</t>
  </si>
  <si>
    <t>AT1G14730</t>
  </si>
  <si>
    <t>AT1G42470</t>
  </si>
  <si>
    <t>AT1G14580</t>
  </si>
  <si>
    <t>AT1G34060</t>
  </si>
  <si>
    <t>AT1G02450</t>
  </si>
  <si>
    <t>AT1G12010</t>
  </si>
  <si>
    <t>AT1G09540</t>
  </si>
  <si>
    <t>AT1G08050</t>
  </si>
  <si>
    <t>AT1G05280</t>
  </si>
  <si>
    <t>AT1G01610</t>
  </si>
  <si>
    <t>AT1G31630</t>
  </si>
  <si>
    <t>Intersect of maternally biased genes</t>
  </si>
  <si>
    <t>Intersect of paternally biased genes</t>
  </si>
  <si>
    <t>Species</t>
  </si>
  <si>
    <t>A. arenosa A. lyrata A. thaliana B. rapa</t>
  </si>
  <si>
    <t>A. arenosa A. thaliana B. rapa C. rubella</t>
  </si>
  <si>
    <t>A. lyrata A. thaliana C. grandiflora C. rubella</t>
  </si>
  <si>
    <t>A. thaliana B. napus B. rapa C. rubella</t>
  </si>
  <si>
    <t>A. arenosa A. thaliana C. rubella</t>
  </si>
  <si>
    <t>A. thaliana B. rapa C. rubella</t>
  </si>
  <si>
    <t>A. thaliana B. napus B. rapa</t>
  </si>
  <si>
    <t>A. lyrata C. orientalis C. rubella</t>
  </si>
  <si>
    <t>A. arenosa A. thaliana</t>
  </si>
  <si>
    <t>A. lyrata A. thaliana</t>
  </si>
  <si>
    <t>A. thaliana C. rubella</t>
  </si>
  <si>
    <t>A. thaliana C. grandiflora</t>
  </si>
  <si>
    <t>AT3G50060</t>
  </si>
  <si>
    <t>A. thaliana B. napus</t>
  </si>
  <si>
    <t>A. thaliana B. rapa</t>
  </si>
  <si>
    <t>A. arenosa C. rubella</t>
  </si>
  <si>
    <t>A. arenosa C. grandiflora</t>
  </si>
  <si>
    <t>AT1G34260</t>
  </si>
  <si>
    <t>A. arenosa B. napus</t>
  </si>
  <si>
    <t>A. arenosa B. rapa</t>
  </si>
  <si>
    <t>A. lyrata C. rubella</t>
  </si>
  <si>
    <t>C. grandiflora C. rubella</t>
  </si>
  <si>
    <t>AT3G09990</t>
  </si>
  <si>
    <t>AT5G03000</t>
  </si>
  <si>
    <t>B. napus C. rubella</t>
  </si>
  <si>
    <t>B. rapa C. rubella</t>
  </si>
  <si>
    <t>B. napus B. rapa</t>
  </si>
  <si>
    <t>A. arenosa A. lyrata A. thaliana B. rapa C. grandiflora C. rubella</t>
  </si>
  <si>
    <t>1</t>
  </si>
  <si>
    <t>A. arenosa A. lyrata A. thaliana C. grandiflora C. rubella</t>
  </si>
  <si>
    <t>A. arenosa B. rapa C. grandiflora C. orientalis C. rubella</t>
  </si>
  <si>
    <t>A. arenosa A. lyrata A. thaliana C. grandiflora</t>
  </si>
  <si>
    <t>2</t>
  </si>
  <si>
    <t>A. arenosa A. lyrata A. thaliana</t>
  </si>
  <si>
    <t>3</t>
  </si>
  <si>
    <t>A. arenosa A. thaliana C. grandiflora</t>
  </si>
  <si>
    <t>A. lyrata A. thaliana C. rubella</t>
  </si>
  <si>
    <t>A. lyrata A. thaliana C. grandiflora</t>
  </si>
  <si>
    <t>A. lyrata A. thaliana B. napus</t>
  </si>
  <si>
    <t>A. lyrata A. thaliana B. rapa</t>
  </si>
  <si>
    <t>A. thaliana C. grandiflora C. rubella</t>
  </si>
  <si>
    <t>A. thaliana B. rapa C. grandiflora</t>
  </si>
  <si>
    <t>C. grandiflora C. orientalis C. rubella</t>
  </si>
  <si>
    <t>AT4G13610</t>
  </si>
  <si>
    <t>B. rapa C. grandiflora C. rubella</t>
  </si>
  <si>
    <t>5</t>
  </si>
  <si>
    <t>10</t>
  </si>
  <si>
    <t>AT1G28630</t>
  </si>
  <si>
    <t>AT2G25560</t>
  </si>
  <si>
    <t>AT1G67220</t>
  </si>
  <si>
    <t>AT5G42670</t>
  </si>
  <si>
    <t>AT5G39550</t>
  </si>
  <si>
    <t>AT4G10730</t>
  </si>
  <si>
    <t>AT1G60220</t>
  </si>
  <si>
    <t>AT1G26620</t>
  </si>
  <si>
    <t>AT5G14960</t>
  </si>
  <si>
    <t>AT4G08590</t>
  </si>
  <si>
    <t>A. arenosa A. lyrata</t>
  </si>
  <si>
    <t>AT1G80220</t>
  </si>
  <si>
    <t>AT3G26940</t>
  </si>
  <si>
    <t>AT3G60790</t>
  </si>
  <si>
    <t>A. lyrata C. grandiflora</t>
  </si>
  <si>
    <t>AT3G16030</t>
  </si>
  <si>
    <t>AT2G26070</t>
  </si>
  <si>
    <t>A. lyrata C. orientalis</t>
  </si>
  <si>
    <t>AT1G43690</t>
  </si>
  <si>
    <t>A. lyrata B. rapa</t>
  </si>
  <si>
    <t>7</t>
  </si>
  <si>
    <t>AT5G57180</t>
  </si>
  <si>
    <t>AT1G80960</t>
  </si>
  <si>
    <t>AT5G23380</t>
  </si>
  <si>
    <t>AT5G54360</t>
  </si>
  <si>
    <t>AT1G66300</t>
  </si>
  <si>
    <t>AT1G59960</t>
  </si>
  <si>
    <t>AT4G25530</t>
  </si>
  <si>
    <t>B. rapa C. grandiflora</t>
  </si>
  <si>
    <t>AT4G23490</t>
  </si>
  <si>
    <t>18</t>
  </si>
  <si>
    <t>Intersections</t>
  </si>
  <si>
    <t>Fractions</t>
  </si>
  <si>
    <t>MEGs</t>
  </si>
  <si>
    <t>PEGs</t>
  </si>
  <si>
    <r>
      <t>Preveiously identified unique genes in inbreeders (</t>
    </r>
    <r>
      <rPr>
        <i/>
        <sz val="11"/>
        <color theme="1"/>
        <rFont val="Aptos Narrow"/>
        <family val="2"/>
        <scheme val="minor"/>
      </rPr>
      <t>A. thaliana, C. rubella, C. orientalis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B. rapa)</t>
    </r>
  </si>
  <si>
    <r>
      <t>Preveiously identified unique genes in outbreeders (</t>
    </r>
    <r>
      <rPr>
        <i/>
        <sz val="11"/>
        <color theme="1"/>
        <rFont val="Aptos Narrow"/>
        <family val="2"/>
        <scheme val="minor"/>
      </rPr>
      <t>A. arenosa, A. lyrata, C. grandiflora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B. napus)</t>
    </r>
  </si>
  <si>
    <t>genes exclusively in inbreeders</t>
  </si>
  <si>
    <t>genes exclusively in outbreeders</t>
  </si>
  <si>
    <t>fraction of genes exclusive outbreeders</t>
  </si>
  <si>
    <t>fraction of genes exclusive inbreeders</t>
  </si>
  <si>
    <r>
      <t xml:space="preserve">Intersect of parentally biased genes investigated in </t>
    </r>
    <r>
      <rPr>
        <i/>
        <sz val="11"/>
        <color theme="1"/>
        <rFont val="Aptos Narrow"/>
        <family val="2"/>
        <scheme val="minor"/>
      </rPr>
      <t>A. arenosa</t>
    </r>
    <r>
      <rPr>
        <sz val="11"/>
        <color theme="1"/>
        <rFont val="Aptos Narrow"/>
        <family val="2"/>
        <scheme val="minor"/>
      </rPr>
      <t xml:space="preserve"> and previously published reports on imprinted genes in species of the </t>
    </r>
    <r>
      <rPr>
        <i/>
        <sz val="11"/>
        <color theme="1"/>
        <rFont val="Aptos Narrow"/>
        <family val="2"/>
        <scheme val="minor"/>
      </rPr>
      <t xml:space="preserve">Brassicaceae </t>
    </r>
    <r>
      <rPr>
        <sz val="11"/>
        <color theme="1"/>
        <rFont val="Aptos Narrow"/>
        <family val="2"/>
        <scheme val="minor"/>
      </rPr>
      <t xml:space="preserve">family. Only imprinted genes with a reported homolog in </t>
    </r>
    <r>
      <rPr>
        <i/>
        <sz val="11"/>
        <color theme="1"/>
        <rFont val="Aptos Narrow"/>
        <family val="2"/>
        <scheme val="minor"/>
      </rPr>
      <t>A. thaliana</t>
    </r>
    <r>
      <rPr>
        <sz val="11"/>
        <color theme="1"/>
        <rFont val="Aptos Narrow"/>
        <family val="2"/>
        <scheme val="minor"/>
      </rPr>
      <t xml:space="preserve"> was included in the analysis. Blue indicate intersection between autogamous species,  turquoise indicate intersection between allogamous species and yellow indicate intersection between mating strategies.</t>
    </r>
  </si>
  <si>
    <t>Sheets:</t>
  </si>
  <si>
    <t>2.13 %</t>
  </si>
  <si>
    <t>0.47 %</t>
  </si>
  <si>
    <t>1.89 %</t>
  </si>
  <si>
    <t>3.72 %</t>
  </si>
  <si>
    <r>
      <t xml:space="preserve">Supplementary Data S15. Intersect of parentally biased genes investigated in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and previously published reports on imprinted genes in species of the </t>
    </r>
    <r>
      <rPr>
        <b/>
        <i/>
        <sz val="11"/>
        <color theme="1"/>
        <rFont val="Aptos Narrow"/>
        <family val="2"/>
        <scheme val="minor"/>
      </rPr>
      <t>Brassicaceae</t>
    </r>
    <r>
      <rPr>
        <b/>
        <sz val="11"/>
        <color theme="1"/>
        <rFont val="Aptos Narrow"/>
        <family val="2"/>
        <scheme val="minor"/>
      </rPr>
      <t xml:space="preserve"> family. </t>
    </r>
    <r>
      <rPr>
        <sz val="11"/>
        <color theme="1"/>
        <rFont val="Aptos Narrow"/>
        <family val="2"/>
        <scheme val="minor"/>
      </rPr>
      <t xml:space="preserve">Only imprinted genes with a reported homolog in </t>
    </r>
    <r>
      <rPr>
        <i/>
        <sz val="11"/>
        <color theme="1"/>
        <rFont val="Aptos Narrow"/>
        <family val="2"/>
        <scheme val="minor"/>
      </rPr>
      <t xml:space="preserve">A. thaliana </t>
    </r>
    <r>
      <rPr>
        <sz val="11"/>
        <color theme="1"/>
        <rFont val="Aptos Narrow"/>
        <family val="2"/>
        <scheme val="minor"/>
      </rPr>
      <t>was included in the analysis. Blue indicate intersection between autogamous species, turquoise indicate intersection between allogamous species and yellow indicate intersection between mating strategies.</t>
    </r>
  </si>
  <si>
    <r>
      <t>Supplementary Data S15. Intersect of parentally biased genes investigated in</t>
    </r>
    <r>
      <rPr>
        <b/>
        <i/>
        <sz val="11"/>
        <color theme="1"/>
        <rFont val="Aptos Narrow"/>
        <family val="2"/>
        <scheme val="minor"/>
      </rPr>
      <t xml:space="preserve"> A. arenosa</t>
    </r>
    <r>
      <rPr>
        <b/>
        <sz val="11"/>
        <color theme="1"/>
        <rFont val="Aptos Narrow"/>
        <family val="2"/>
        <scheme val="minor"/>
      </rPr>
      <t xml:space="preserve"> and previously published reports on imprinted genes in species of the </t>
    </r>
    <r>
      <rPr>
        <b/>
        <i/>
        <sz val="11"/>
        <color theme="1"/>
        <rFont val="Aptos Narrow"/>
        <family val="2"/>
        <scheme val="minor"/>
      </rPr>
      <t>Brassicaceae</t>
    </r>
    <r>
      <rPr>
        <b/>
        <sz val="11"/>
        <color theme="1"/>
        <rFont val="Aptos Narrow"/>
        <family val="2"/>
        <scheme val="minor"/>
      </rPr>
      <t xml:space="preserve"> family.</t>
    </r>
    <r>
      <rPr>
        <sz val="11"/>
        <color theme="1"/>
        <rFont val="Aptos Narrow"/>
        <family val="2"/>
        <scheme val="minor"/>
      </rPr>
      <t xml:space="preserve"> Only imprinted genes with a reported homolog in </t>
    </r>
    <r>
      <rPr>
        <i/>
        <sz val="11"/>
        <color theme="1"/>
        <rFont val="Aptos Narrow"/>
        <family val="2"/>
        <scheme val="minor"/>
      </rPr>
      <t>A. thaliana</t>
    </r>
    <r>
      <rPr>
        <sz val="11"/>
        <color theme="1"/>
        <rFont val="Aptos Narrow"/>
        <family val="2"/>
        <scheme val="minor"/>
      </rPr>
      <t xml:space="preserve"> was included in the analysis</t>
    </r>
    <r>
      <rPr>
        <b/>
        <sz val="11"/>
        <color theme="1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 Blue indicate intersection between autogamous species, turquoise indicate intersection between allogamous species and yellow indicate intersection between mating strategies.</t>
    </r>
  </si>
  <si>
    <t>species</t>
  </si>
  <si>
    <t>shared</t>
  </si>
  <si>
    <t>not_shared</t>
  </si>
  <si>
    <t>p-value</t>
  </si>
  <si>
    <t>MEGs inbreeders</t>
  </si>
  <si>
    <t>PEGs outbreeders</t>
  </si>
  <si>
    <t>MEGs outbreeders</t>
  </si>
  <si>
    <t>PEGs inbreeders</t>
  </si>
  <si>
    <t>Full Set Size</t>
  </si>
  <si>
    <t>A. thaliana</t>
  </si>
  <si>
    <t>C. rubella</t>
  </si>
  <si>
    <t>C. orientalis</t>
  </si>
  <si>
    <t>B. rapa</t>
  </si>
  <si>
    <t>A. arenosa</t>
  </si>
  <si>
    <t>A. lyrata</t>
  </si>
  <si>
    <t>C. grandiflora</t>
  </si>
  <si>
    <t>B. napus</t>
  </si>
  <si>
    <t>Fisher's Exacts Test for Count Data</t>
  </si>
  <si>
    <t>No</t>
  </si>
  <si>
    <t>yes</t>
  </si>
  <si>
    <t>Is the fraction of imprinted genes different between inbreeders and outbreeders?</t>
  </si>
  <si>
    <t>more MEGs in inbreeders than outbreeders</t>
  </si>
  <si>
    <t>not shared</t>
  </si>
  <si>
    <t>fraction</t>
  </si>
  <si>
    <r>
      <t xml:space="preserve">Is the overlap between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and </t>
    </r>
    <r>
      <rPr>
        <b/>
        <i/>
        <sz val="11"/>
        <color theme="1"/>
        <rFont val="Aptos Narrow"/>
        <family val="2"/>
        <scheme val="minor"/>
      </rPr>
      <t>A.lyrata</t>
    </r>
    <r>
      <rPr>
        <b/>
        <sz val="11"/>
        <color theme="1"/>
        <rFont val="Aptos Narrow"/>
        <family val="2"/>
        <scheme val="minor"/>
      </rPr>
      <t xml:space="preserve"> different to the overlap between </t>
    </r>
    <r>
      <rPr>
        <b/>
        <i/>
        <sz val="11"/>
        <color theme="1"/>
        <rFont val="Aptos Narrow"/>
        <family val="2"/>
        <scheme val="minor"/>
      </rPr>
      <t xml:space="preserve">A. arenosa </t>
    </r>
    <r>
      <rPr>
        <b/>
        <sz val="11"/>
        <color theme="1"/>
        <rFont val="Aptos Narrow"/>
        <family val="2"/>
        <scheme val="minor"/>
      </rPr>
      <t xml:space="preserve">and </t>
    </r>
    <r>
      <rPr>
        <b/>
        <i/>
        <sz val="11"/>
        <color theme="1"/>
        <rFont val="Aptos Narrow"/>
        <family val="2"/>
        <scheme val="minor"/>
      </rPr>
      <t>A. thaliana</t>
    </r>
    <r>
      <rPr>
        <b/>
        <sz val="11"/>
        <color theme="1"/>
        <rFont val="Aptos Narrow"/>
        <family val="2"/>
        <scheme val="minor"/>
      </rPr>
      <t>?</t>
    </r>
  </si>
  <si>
    <r>
      <t xml:space="preserve">PEGs intersect with </t>
    </r>
    <r>
      <rPr>
        <i/>
        <sz val="11"/>
        <color theme="1"/>
        <rFont val="Aptos Narrow"/>
        <family val="2"/>
        <scheme val="minor"/>
      </rPr>
      <t>A. arenosa</t>
    </r>
  </si>
  <si>
    <r>
      <t xml:space="preserve">MEGs intersect with </t>
    </r>
    <r>
      <rPr>
        <i/>
        <sz val="11"/>
        <color theme="1"/>
        <rFont val="Aptos Narrow"/>
        <family val="2"/>
        <scheme val="minor"/>
      </rPr>
      <t>A. arenosa</t>
    </r>
  </si>
  <si>
    <t>a) Fraction of genes in intersects between species</t>
  </si>
  <si>
    <t>b) Fractions of genes inbreeders vs Outbreeders</t>
  </si>
  <si>
    <t>Fractions of genes in the intersects between species. Fraction of genes exclusievly found in inbreeding and outbreeding species. Fisher's exact test comparing the fractions.</t>
  </si>
  <si>
    <r>
      <t xml:space="preserve">Is the overlap between </t>
    </r>
    <r>
      <rPr>
        <b/>
        <i/>
        <sz val="11"/>
        <color rgb="FF000000"/>
        <rFont val="Aptos Narrow"/>
        <family val="2"/>
        <scheme val="minor"/>
      </rPr>
      <t>A. arenosa</t>
    </r>
    <r>
      <rPr>
        <b/>
        <sz val="11"/>
        <color rgb="FF000000"/>
        <rFont val="Aptos Narrow"/>
        <family val="2"/>
        <scheme val="minor"/>
      </rPr>
      <t xml:space="preserve"> and </t>
    </r>
    <r>
      <rPr>
        <b/>
        <i/>
        <sz val="11"/>
        <color rgb="FF000000"/>
        <rFont val="Aptos Narrow"/>
        <family val="2"/>
        <scheme val="minor"/>
      </rPr>
      <t>A. thaliana</t>
    </r>
    <r>
      <rPr>
        <b/>
        <sz val="11"/>
        <color rgb="FF000000"/>
        <rFont val="Aptos Narrow"/>
        <family val="2"/>
        <scheme val="minor"/>
      </rPr>
      <t xml:space="preserve"> significantly greater than that between</t>
    </r>
    <r>
      <rPr>
        <b/>
        <i/>
        <sz val="11"/>
        <color rgb="FF000000"/>
        <rFont val="Aptos Narrow"/>
        <family val="2"/>
        <scheme val="minor"/>
      </rPr>
      <t xml:space="preserve"> A. arenosa</t>
    </r>
    <r>
      <rPr>
        <b/>
        <sz val="11"/>
        <color rgb="FF000000"/>
        <rFont val="Aptos Narrow"/>
        <family val="2"/>
        <scheme val="minor"/>
      </rPr>
      <t xml:space="preserve"> and the other species? </t>
    </r>
  </si>
  <si>
    <t>more PEGs than MEGs in outbreeders</t>
  </si>
  <si>
    <t>jg30302</t>
  </si>
  <si>
    <t>jg22257</t>
  </si>
  <si>
    <t>jg2026</t>
  </si>
  <si>
    <t>jg32781</t>
  </si>
  <si>
    <t>jg14157</t>
  </si>
  <si>
    <t>jg16816</t>
  </si>
  <si>
    <t>jg28459</t>
  </si>
  <si>
    <t>jg8224</t>
  </si>
  <si>
    <t>jg7708</t>
  </si>
  <si>
    <t>jg12709</t>
  </si>
  <si>
    <t>jg12644</t>
  </si>
  <si>
    <t>jg23446</t>
  </si>
  <si>
    <t>jg8186</t>
  </si>
  <si>
    <t>jg2673</t>
  </si>
  <si>
    <t>jg6003</t>
  </si>
  <si>
    <t>jg8961</t>
  </si>
  <si>
    <t>jg19547</t>
  </si>
  <si>
    <t>jg4207</t>
  </si>
  <si>
    <t>jg5204</t>
  </si>
  <si>
    <t>jg24146</t>
  </si>
  <si>
    <t>jg22762</t>
  </si>
  <si>
    <t>jg29166</t>
  </si>
  <si>
    <t>jg32078</t>
  </si>
  <si>
    <t>jg7221</t>
  </si>
  <si>
    <t>jg841</t>
  </si>
  <si>
    <t>jg28863</t>
  </si>
  <si>
    <t>jg5123</t>
  </si>
  <si>
    <t>jg2042 (maternally biased arenosa)</t>
  </si>
  <si>
    <t>jg2041 (BEG arenosa)</t>
  </si>
  <si>
    <t>both maternally biased one cross, BEG other cross in arenosa</t>
  </si>
  <si>
    <t>Not analysed A.arenosa</t>
  </si>
  <si>
    <t>MEG-not strong enough es-enrichment</t>
  </si>
  <si>
    <t>BEG</t>
  </si>
  <si>
    <t>NS-pat bias</t>
  </si>
  <si>
    <t>no data</t>
  </si>
  <si>
    <t>No parental bias</t>
  </si>
  <si>
    <t xml:space="preserve">No parental bias </t>
  </si>
  <si>
    <t>Paternal bias one direction</t>
  </si>
  <si>
    <t>PEG ColxCvi, but not LerxCvi or ColxLer</t>
  </si>
  <si>
    <t>no bias</t>
  </si>
  <si>
    <t>VxC Col bias</t>
  </si>
  <si>
    <t>VxC Cvi bias</t>
  </si>
  <si>
    <t>0.32 %</t>
  </si>
  <si>
    <t>2.66 %</t>
  </si>
  <si>
    <t>genes exclusively in outbreeders, truly unbiased in inbreeders</t>
  </si>
  <si>
    <t>exclusive outbreeding from intersection-sheet</t>
  </si>
  <si>
    <t>exclusive inbreeding from intersection-sheet</t>
  </si>
  <si>
    <t>biased-unbiased</t>
  </si>
  <si>
    <t>Imprinting status (this study)</t>
  </si>
  <si>
    <t>no homolog in A. arenosa</t>
  </si>
  <si>
    <t>Pignatta et al 2014</t>
  </si>
  <si>
    <t>van Ekelenburg et al 2023</t>
  </si>
  <si>
    <t>Picard et al 2021</t>
  </si>
  <si>
    <t>MEG-no seed-profile Belmonte et al 2013</t>
  </si>
  <si>
    <t>MEG-seedcoat Belmonte et al 2013/Hornslien et al 2019</t>
  </si>
  <si>
    <t>MEG-embryo gene Belmonte et al 2013/Hornslien et al 2019</t>
  </si>
  <si>
    <t>jg25430</t>
  </si>
  <si>
    <t>maternally biased arenosa</t>
  </si>
  <si>
    <t>maternally biased one cross,  BEG other cross in arenosa</t>
  </si>
  <si>
    <r>
      <rPr>
        <b/>
        <sz val="11"/>
        <rFont val="Aptos Narrow"/>
        <family val="2"/>
        <scheme val="minor"/>
      </rPr>
      <t>Supplementary Data S15. a)</t>
    </r>
    <r>
      <rPr>
        <sz val="11"/>
        <rFont val="Aptos Narrow"/>
        <family val="2"/>
        <scheme val="minor"/>
      </rPr>
      <t xml:space="preserve"> Pairwise fraction of genes in intersects between species.</t>
    </r>
    <r>
      <rPr>
        <b/>
        <sz val="11"/>
        <rFont val="Aptos Narrow"/>
        <family val="2"/>
        <scheme val="minor"/>
      </rPr>
      <t xml:space="preserve"> b) </t>
    </r>
    <r>
      <rPr>
        <sz val="11"/>
        <rFont val="Aptos Narrow"/>
        <family val="2"/>
        <scheme val="minor"/>
      </rPr>
      <t>Fraction of genes exclusievly found in inbreeding and outbreeding species. This studie, Hsieh et al., 2011; Wolff et al., 2011; Gehring et al., 2011; Hatorangan et al., 2016; Klosinska et al., 2016; Liu et al., 2018; Yoshida et al., 2018; Lafon-Placette et al., 2018; Hornslien et al., 2019; Pignatta et al., 2014; Picard et al., 2021; van Ekelenburg et al., 2023</t>
    </r>
  </si>
  <si>
    <t xml:space="preserve">Assessment of data availability, parental bias or non-parental bias. </t>
  </si>
  <si>
    <r>
      <rPr>
        <i/>
        <sz val="11"/>
        <color theme="1"/>
        <rFont val="Aptos Narrow"/>
        <family val="2"/>
        <scheme val="minor"/>
      </rPr>
      <t>A. thaliana</t>
    </r>
    <r>
      <rPr>
        <sz val="11"/>
        <color theme="1"/>
        <rFont val="Aptos Narrow"/>
        <family val="2"/>
        <scheme val="minor"/>
      </rPr>
      <t xml:space="preserve"> status</t>
    </r>
  </si>
  <si>
    <r>
      <rPr>
        <i/>
        <sz val="11"/>
        <color theme="1"/>
        <rFont val="Aptos Narrow"/>
        <family val="2"/>
        <scheme val="minor"/>
      </rPr>
      <t>A.arenosa</t>
    </r>
    <r>
      <rPr>
        <sz val="11"/>
        <color theme="1"/>
        <rFont val="Aptos Narrow"/>
        <family val="2"/>
        <scheme val="minor"/>
      </rPr>
      <t xml:space="preserve"> homolog</t>
    </r>
  </si>
  <si>
    <r>
      <rPr>
        <b/>
        <sz val="11"/>
        <color theme="1"/>
        <rFont val="Aptos Narrow"/>
        <family val="2"/>
        <scheme val="minor"/>
      </rPr>
      <t xml:space="preserve">Supplementary Data S15. Intersect of parentally biased genes investigated in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and previously published reports on imprinted genes in species of the </t>
    </r>
    <r>
      <rPr>
        <b/>
        <i/>
        <sz val="11"/>
        <color theme="1"/>
        <rFont val="Aptos Narrow"/>
        <family val="2"/>
        <scheme val="minor"/>
      </rPr>
      <t>Brassicaceae</t>
    </r>
    <r>
      <rPr>
        <b/>
        <sz val="11"/>
        <color theme="1"/>
        <rFont val="Aptos Narrow"/>
        <family val="2"/>
        <scheme val="minor"/>
      </rPr>
      <t xml:space="preserve"> family.</t>
    </r>
    <r>
      <rPr>
        <sz val="11"/>
        <color theme="1"/>
        <rFont val="Aptos Narrow"/>
        <family val="2"/>
        <scheme val="minor"/>
      </rPr>
      <t xml:space="preserve"> Assessment of data availability, parental bias or non-parental bias. 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</si>
  <si>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</si>
  <si>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</si>
  <si>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</si>
  <si>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</si>
  <si>
    <r>
      <t xml:space="preserve">Gehring, M., Missirian, V., &amp; Henikoff, S. (2011). Genomic analysis of parent-of-origin allelic expression in Arabidopsis thaliana seeds. </t>
    </r>
    <r>
      <rPr>
        <i/>
        <sz val="11"/>
        <color theme="1"/>
        <rFont val="Aptos"/>
        <family val="2"/>
      </rPr>
      <t>PLoS One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6</t>
    </r>
    <r>
      <rPr>
        <sz val="11"/>
        <color theme="1"/>
        <rFont val="Aptos"/>
        <family val="2"/>
      </rPr>
      <t>(8), e23687.</t>
    </r>
  </si>
  <si>
    <r>
      <t xml:space="preserve">Hatorangan, M. R., Laenen, B., Steige, K. A., Slotte, T., &amp; Kohler, C. (2016). Rapid Evolution of Genomic Imprinting in Two Species of the Brassicaceae. </t>
    </r>
    <r>
      <rPr>
        <i/>
        <sz val="11"/>
        <color theme="1"/>
        <rFont val="Aptos"/>
        <family val="2"/>
      </rPr>
      <t>Plant Cell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28</t>
    </r>
    <r>
      <rPr>
        <sz val="11"/>
        <color theme="1"/>
        <rFont val="Aptos"/>
        <family val="2"/>
      </rPr>
      <t>(8), 1815–1827.</t>
    </r>
  </si>
  <si>
    <r>
      <t xml:space="preserve">Hornslien, K. S., Miller, J. R., &amp; Grini, P. E. (2019). Regulation of Parent-of-Origin Allelic Expression in the Endosperm. </t>
    </r>
    <r>
      <rPr>
        <i/>
        <sz val="11"/>
        <color theme="1"/>
        <rFont val="Aptos"/>
        <family val="2"/>
      </rPr>
      <t>Plant Physiol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180</t>
    </r>
    <r>
      <rPr>
        <sz val="11"/>
        <color theme="1"/>
        <rFont val="Aptos"/>
        <family val="2"/>
      </rPr>
      <t>(3), 1498–1519.</t>
    </r>
  </si>
  <si>
    <r>
      <t xml:space="preserve">Hsieh, T. F., Shin, J., Uzawa, R., Silva, P., Cohen, S., Bauer, M. J., Hashimoto, M., Kirkbride, R. C., Harada, J. J., Zilberman, D., &amp; Fischer, R. L. (2011). Regulation of imprinted gene expression in Arabidopsis endosperm. </t>
    </r>
    <r>
      <rPr>
        <i/>
        <sz val="11"/>
        <color theme="1"/>
        <rFont val="Aptos"/>
        <family val="2"/>
      </rPr>
      <t>Proc Natl Acad Sci U S A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108</t>
    </r>
    <r>
      <rPr>
        <sz val="11"/>
        <color theme="1"/>
        <rFont val="Aptos"/>
        <family val="2"/>
      </rPr>
      <t>(5), 1755–1762.</t>
    </r>
  </si>
  <si>
    <r>
      <t xml:space="preserve">Klosinska, M., Picard, C. L., &amp; Gehring, M. (2016). Conserved imprinting associated with unique epigenetic signatures in the Arabidopsis genus. </t>
    </r>
    <r>
      <rPr>
        <i/>
        <sz val="11"/>
        <color theme="1"/>
        <rFont val="Aptos"/>
        <family val="2"/>
      </rPr>
      <t>Nat Plants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2</t>
    </r>
    <r>
      <rPr>
        <sz val="11"/>
        <color theme="1"/>
        <rFont val="Aptos"/>
        <family val="2"/>
      </rPr>
      <t>, 16145.</t>
    </r>
  </si>
  <si>
    <r>
      <t xml:space="preserve">Lafon-Placette, C., Hatorangan, M. R., Steige, K. A., Cornille, A., Lascoux, M., Slotte, T., &amp; Köhler, C. (2018). Paternally expressed imprinted genes associate with hybridization barriers in Capsella. </t>
    </r>
    <r>
      <rPr>
        <i/>
        <sz val="11"/>
        <color theme="1"/>
        <rFont val="Aptos"/>
        <family val="2"/>
      </rPr>
      <t>Nat Plants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4</t>
    </r>
    <r>
      <rPr>
        <sz val="11"/>
        <color theme="1"/>
        <rFont val="Aptos"/>
        <family val="2"/>
      </rPr>
      <t>(6), 352–357.</t>
    </r>
  </si>
  <si>
    <r>
      <t xml:space="preserve">Liu, J., Li, J., Liu, H. F., Fan, S. H., Singh, S., Zhou, X. R., Hu, Z. Y., Wang, H. Z., &amp; Hua, W. (2018). Genome-wide screening and analysis of imprinted genes in rapeseed (Brassica napus L.) endosperm. </t>
    </r>
    <r>
      <rPr>
        <i/>
        <sz val="11"/>
        <color theme="1"/>
        <rFont val="Aptos"/>
        <family val="2"/>
      </rPr>
      <t>DNA Res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25</t>
    </r>
    <r>
      <rPr>
        <sz val="11"/>
        <color theme="1"/>
        <rFont val="Aptos"/>
        <family val="2"/>
      </rPr>
      <t>(6), 629–640.</t>
    </r>
  </si>
  <si>
    <r>
      <t xml:space="preserve">Pignatta, D., Erdmann, R. M., Scheer, E., Picard, C. L., Bell, G. W., &amp; Gehring, M. (2014). Natural epigenetic polymorphisms lead to intraspecific variation in Arabidopsis gene imprinting. </t>
    </r>
    <r>
      <rPr>
        <i/>
        <sz val="11"/>
        <color theme="1"/>
        <rFont val="Aptos"/>
        <family val="2"/>
      </rPr>
      <t>Elife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3</t>
    </r>
    <r>
      <rPr>
        <sz val="11"/>
        <color theme="1"/>
        <rFont val="Aptos"/>
        <family val="2"/>
      </rPr>
      <t>, e03198.</t>
    </r>
  </si>
  <si>
    <r>
      <t xml:space="preserve">Picard, C. L., Povilus, R. A., Williams, B. P., &amp; Gehring, M. (2021). Transcriptional and imprinting complexity in Arabidopsis seeds at single-nucleus resolution. </t>
    </r>
    <r>
      <rPr>
        <i/>
        <sz val="11"/>
        <color theme="1"/>
        <rFont val="Aptos"/>
        <family val="2"/>
      </rPr>
      <t>Nat Plants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7</t>
    </r>
    <r>
      <rPr>
        <sz val="11"/>
        <color theme="1"/>
        <rFont val="Aptos"/>
        <family val="2"/>
      </rPr>
      <t>(6), 730–738.</t>
    </r>
  </si>
  <si>
    <r>
      <t xml:space="preserve">van Ekelenburg, Y. S., Hornslien, K. S., Van Hautegem, T., Fendrych, M., Van Isterdael, G., Bjerkan, K. N., Miller, J. R., Nowack, M. K., &amp; Grini, P. E. (2023). Spatial and temporal regulation of parent-of-origin allelic expression in the endosperm. </t>
    </r>
    <r>
      <rPr>
        <i/>
        <sz val="11"/>
        <color theme="1"/>
        <rFont val="Aptos"/>
        <family val="2"/>
      </rPr>
      <t>Plant Physiol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191</t>
    </r>
    <r>
      <rPr>
        <sz val="11"/>
        <color theme="1"/>
        <rFont val="Aptos"/>
        <family val="2"/>
      </rPr>
      <t>(2),</t>
    </r>
  </si>
  <si>
    <r>
      <t xml:space="preserve">Wolff, P., Weinhofer, I., Seguin, J., Roszak, P., Beisel, C., Donoghue, M. T., Spillane, C., Nordborg, M., Rehmsmeier, M., &amp; Kohler, C. (2011). High-resolution analysis of parent-of-origin allelic expression in the Arabidopsis Endosperm. </t>
    </r>
    <r>
      <rPr>
        <i/>
        <sz val="11"/>
        <color theme="1"/>
        <rFont val="Aptos"/>
        <family val="2"/>
      </rPr>
      <t>PLoS Genet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7</t>
    </r>
    <r>
      <rPr>
        <sz val="11"/>
        <color theme="1"/>
        <rFont val="Aptos"/>
        <family val="2"/>
      </rPr>
      <t>(6), e1002126.</t>
    </r>
  </si>
  <si>
    <t>Supplementary Data S15. Intersect of parentally biased genes investigated in A. arenosa and previously published reports on imprinted genes in species of the Brassicaceae family.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</si>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</sst>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%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8"/>
      <color rgb="FF000000"/>
      <name val="Lucida Console"/>
      <family val="3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38181"/>
        <bgColor indexed="64"/>
      </patternFill>
    </fill>
    <fill>
      <patternFill patternType="solid">
        <fgColor rgb="FF2A2D7C"/>
        <bgColor indexed="64"/>
      </patternFill>
    </fill>
    <fill>
      <patternFill patternType="solid">
        <fgColor rgb="FFFDD7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5" fillId="0" borderId="0"/>
  </cellStyleXfs>
  <cellXfs count="63">
    <xf numFmtId="0" fontId="0" fillId="0" borderId="0" xfId="0"/>
    <xf numFmtId="0" fontId="0" fillId="0" borderId="10" xfId="0" applyBorder="1"/>
    <xf numFmtId="49" fontId="0" fillId="0" borderId="0" xfId="0" applyNumberFormat="1"/>
    <xf numFmtId="49" fontId="0" fillId="0" borderId="10" xfId="0" applyNumberFormat="1" applyBorder="1"/>
    <xf numFmtId="49" fontId="18" fillId="0" borderId="0" xfId="0" applyNumberFormat="1" applyFont="1"/>
    <xf numFmtId="49" fontId="18" fillId="33" borderId="0" xfId="0" applyNumberFormat="1" applyFont="1" applyFill="1"/>
    <xf numFmtId="49" fontId="0" fillId="33" borderId="0" xfId="0" applyNumberFormat="1" applyFill="1"/>
    <xf numFmtId="49" fontId="0" fillId="33" borderId="10" xfId="0" applyNumberFormat="1" applyFill="1" applyBorder="1"/>
    <xf numFmtId="49" fontId="0" fillId="35" borderId="0" xfId="0" applyNumberFormat="1" applyFill="1"/>
    <xf numFmtId="49" fontId="18" fillId="35" borderId="0" xfId="0" applyNumberFormat="1" applyFont="1" applyFill="1"/>
    <xf numFmtId="49" fontId="0" fillId="35" borderId="10" xfId="0" applyNumberFormat="1" applyFill="1" applyBorder="1"/>
    <xf numFmtId="0" fontId="0" fillId="35" borderId="0" xfId="0" applyFill="1"/>
    <xf numFmtId="0" fontId="0" fillId="35" borderId="10" xfId="0" applyFill="1" applyBorder="1"/>
    <xf numFmtId="49" fontId="18" fillId="35" borderId="12" xfId="0" applyNumberFormat="1" applyFont="1" applyFill="1" applyBorder="1"/>
    <xf numFmtId="49" fontId="0" fillId="35" borderId="12" xfId="0" applyNumberFormat="1" applyFill="1" applyBorder="1"/>
    <xf numFmtId="49" fontId="0" fillId="35" borderId="11" xfId="0" applyNumberFormat="1" applyFill="1" applyBorder="1"/>
    <xf numFmtId="49" fontId="18" fillId="35" borderId="14" xfId="0" applyNumberFormat="1" applyFont="1" applyFill="1" applyBorder="1"/>
    <xf numFmtId="49" fontId="0" fillId="35" borderId="14" xfId="0" applyNumberFormat="1" applyFill="1" applyBorder="1"/>
    <xf numFmtId="49" fontId="0" fillId="35" borderId="15" xfId="0" applyNumberFormat="1" applyFill="1" applyBorder="1"/>
    <xf numFmtId="49" fontId="18" fillId="35" borderId="16" xfId="0" applyNumberFormat="1" applyFont="1" applyFill="1" applyBorder="1"/>
    <xf numFmtId="49" fontId="0" fillId="35" borderId="16" xfId="0" applyNumberFormat="1" applyFill="1" applyBorder="1"/>
    <xf numFmtId="49" fontId="0" fillId="35" borderId="13" xfId="0" applyNumberFormat="1" applyFill="1" applyBorder="1"/>
    <xf numFmtId="0" fontId="0" fillId="0" borderId="12" xfId="0" applyBorder="1"/>
    <xf numFmtId="0" fontId="0" fillId="0" borderId="11" xfId="0" applyBorder="1"/>
    <xf numFmtId="49" fontId="18" fillId="35" borderId="18" xfId="0" applyNumberFormat="1" applyFont="1" applyFill="1" applyBorder="1"/>
    <xf numFmtId="49" fontId="18" fillId="35" borderId="17" xfId="0" applyNumberFormat="1" applyFont="1" applyFill="1" applyBorder="1"/>
    <xf numFmtId="49" fontId="18" fillId="35" borderId="20" xfId="0" applyNumberFormat="1" applyFont="1" applyFill="1" applyBorder="1"/>
    <xf numFmtId="49" fontId="18" fillId="33" borderId="17" xfId="0" applyNumberFormat="1" applyFont="1" applyFill="1" applyBorder="1"/>
    <xf numFmtId="49" fontId="0" fillId="33" borderId="12" xfId="0" applyNumberFormat="1" applyFill="1" applyBorder="1"/>
    <xf numFmtId="49" fontId="18" fillId="33" borderId="20" xfId="0" applyNumberFormat="1" applyFont="1" applyFill="1" applyBorder="1"/>
    <xf numFmtId="49" fontId="0" fillId="33" borderId="14" xfId="0" applyNumberFormat="1" applyFill="1" applyBorder="1"/>
    <xf numFmtId="49" fontId="18" fillId="35" borderId="19" xfId="0" applyNumberFormat="1" applyFont="1" applyFill="1" applyBorder="1"/>
    <xf numFmtId="49" fontId="0" fillId="35" borderId="18" xfId="0" applyNumberFormat="1" applyFill="1" applyBorder="1"/>
    <xf numFmtId="49" fontId="0" fillId="35" borderId="17" xfId="0" applyNumberFormat="1" applyFill="1" applyBorder="1"/>
    <xf numFmtId="49" fontId="20" fillId="34" borderId="0" xfId="0" applyNumberFormat="1" applyFont="1" applyFill="1"/>
    <xf numFmtId="49" fontId="17" fillId="34" borderId="0" xfId="0" applyNumberFormat="1" applyFont="1" applyFill="1"/>
    <xf numFmtId="49" fontId="17" fillId="34" borderId="10" xfId="0" applyNumberFormat="1" applyFont="1" applyFill="1" applyBorder="1"/>
    <xf numFmtId="0" fontId="16" fillId="0" borderId="0" xfId="0" applyFont="1"/>
    <xf numFmtId="0" fontId="16" fillId="0" borderId="0" xfId="0" applyFont="1" applyAlignment="1">
      <alignment wrapText="1"/>
    </xf>
    <xf numFmtId="0" fontId="22" fillId="0" borderId="0" xfId="0" applyFont="1" applyAlignment="1">
      <alignment horizontal="right" vertical="center"/>
    </xf>
    <xf numFmtId="0" fontId="18" fillId="0" borderId="0" xfId="0" applyFont="1"/>
    <xf numFmtId="0" fontId="18" fillId="0" borderId="12" xfId="0" applyFont="1" applyBorder="1"/>
    <xf numFmtId="0" fontId="18" fillId="0" borderId="14" xfId="0" applyFont="1" applyBorder="1"/>
    <xf numFmtId="0" fontId="0" fillId="0" borderId="14" xfId="0" applyBorder="1"/>
    <xf numFmtId="0" fontId="22" fillId="0" borderId="12" xfId="0" applyFont="1" applyBorder="1" applyAlignment="1">
      <alignment horizontal="right" vertical="center"/>
    </xf>
    <xf numFmtId="0" fontId="23" fillId="0" borderId="0" xfId="0" applyFont="1"/>
    <xf numFmtId="0" fontId="0" fillId="0" borderId="0" xfId="0" applyAlignment="1">
      <alignment horizontal="right"/>
    </xf>
    <xf numFmtId="0" fontId="22" fillId="0" borderId="14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164" fontId="0" fillId="0" borderId="0" xfId="42" applyNumberFormat="1" applyFont="1" applyFill="1"/>
    <xf numFmtId="0" fontId="22" fillId="0" borderId="0" xfId="0" applyFont="1" applyAlignment="1">
      <alignment vertical="center"/>
    </xf>
    <xf numFmtId="0" fontId="1" fillId="0" borderId="0" xfId="43" applyFont="1"/>
    <xf numFmtId="0" fontId="1" fillId="0" borderId="0" xfId="0" applyFont="1"/>
    <xf numFmtId="0" fontId="26" fillId="0" borderId="0" xfId="0" applyFont="1"/>
    <xf numFmtId="0" fontId="28" fillId="0" borderId="0" xfId="0" applyFont="1"/>
    <xf numFmtId="0" fontId="29" fillId="0" borderId="0" xfId="0" applyFont="1"/>
    <xf numFmtId="0" fontId="16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49" fontId="0" fillId="0" borderId="0" xfId="0" applyNumberFormat="1" applyAlignment="1">
      <alignment horizontal="left" wrapText="1"/>
    </xf>
    <xf numFmtId="0" fontId="29" fillId="0" borderId="0" xfId="0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4B973404-3ECC-4574-A039-E26C2DB552FF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D700"/>
      <color rgb="FF038181"/>
      <color rgb="FF2A2D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ABF-97DD-40A0-B09E-53216D12FA10}">
  <dimension ref="A1:L16"/>
  <sheetViews>
    <sheetView tabSelected="1" workbookViewId="0"/>
  </sheetViews>
  <sheetFormatPr defaultRowHeight="14.4" x14ac:dyDescent="0.3"/>
  <sheetData>
    <row r="1" spans="1:12" x14ac:dyDescent="0.3">
      <c r="A1" s="55" t="s">
        <v>366</v>
      </c>
      <c r="B1" s="56"/>
      <c r="C1" s="56"/>
      <c r="D1" s="56"/>
      <c r="E1" s="56"/>
      <c r="F1" s="56"/>
      <c r="G1" s="56"/>
      <c r="H1" s="56"/>
      <c r="I1" s="56"/>
      <c r="J1" s="56"/>
    </row>
    <row r="2" spans="1:12" x14ac:dyDescent="0.3">
      <c r="A2" s="58" t="s">
        <v>367</v>
      </c>
      <c r="B2" s="58"/>
      <c r="C2" s="58"/>
      <c r="D2" s="58"/>
      <c r="E2" s="58"/>
      <c r="F2" s="58"/>
      <c r="G2" s="58"/>
      <c r="H2" s="58"/>
      <c r="I2" s="58"/>
      <c r="J2" s="58"/>
    </row>
    <row r="3" spans="1:12" x14ac:dyDescent="0.3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2" x14ac:dyDescent="0.3">
      <c r="A4" s="58" t="s">
        <v>368</v>
      </c>
      <c r="B4" s="58"/>
      <c r="C4" s="58"/>
      <c r="D4" s="58"/>
      <c r="E4" s="58"/>
      <c r="F4" s="58"/>
      <c r="G4" s="58"/>
      <c r="H4" s="58"/>
      <c r="I4" s="58"/>
      <c r="J4" s="58"/>
    </row>
    <row r="5" spans="1:12" x14ac:dyDescent="0.3">
      <c r="A5" s="58"/>
      <c r="B5" s="58"/>
      <c r="C5" s="58"/>
      <c r="D5" s="58"/>
      <c r="E5" s="58"/>
      <c r="F5" s="58"/>
      <c r="G5" s="58"/>
      <c r="H5" s="58"/>
      <c r="I5" s="58"/>
      <c r="J5" s="58"/>
    </row>
    <row r="6" spans="1:12" x14ac:dyDescent="0.3">
      <c r="A6" s="56" t="s">
        <v>369</v>
      </c>
      <c r="B6" s="56"/>
      <c r="C6" s="56"/>
      <c r="D6" s="56"/>
      <c r="E6" s="56"/>
      <c r="F6" s="56"/>
      <c r="G6" s="56"/>
      <c r="H6" s="56"/>
      <c r="I6" s="56"/>
      <c r="J6" s="56"/>
    </row>
    <row r="8" spans="1:12" ht="14.4" customHeight="1" x14ac:dyDescent="0.3">
      <c r="A8" s="57" t="s">
        <v>268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38"/>
    </row>
    <row r="9" spans="1:12" x14ac:dyDescent="0.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38"/>
    </row>
    <row r="10" spans="1:12" x14ac:dyDescent="0.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38"/>
    </row>
    <row r="11" spans="1:12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38"/>
    </row>
    <row r="12" spans="1:12" x14ac:dyDescent="0.3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38"/>
    </row>
    <row r="13" spans="1:12" x14ac:dyDescent="0.3">
      <c r="A13" s="37" t="s">
        <v>263</v>
      </c>
    </row>
    <row r="14" spans="1:12" x14ac:dyDescent="0.3">
      <c r="A14" t="s">
        <v>252</v>
      </c>
      <c r="B14" t="s">
        <v>262</v>
      </c>
    </row>
    <row r="15" spans="1:12" x14ac:dyDescent="0.3">
      <c r="A15" t="s">
        <v>349</v>
      </c>
      <c r="B15" t="s">
        <v>362</v>
      </c>
    </row>
    <row r="16" spans="1:12" x14ac:dyDescent="0.3">
      <c r="A16" t="s">
        <v>253</v>
      </c>
      <c r="B16" t="s">
        <v>299</v>
      </c>
    </row>
  </sheetData>
  <mergeCells count="3">
    <mergeCell ref="A8:K12"/>
    <mergeCell ref="A2:J3"/>
    <mergeCell ref="A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2097-C4AA-4308-BB1C-2793872FD7ED}">
  <dimension ref="A1:H119"/>
  <sheetViews>
    <sheetView zoomScaleNormal="100" workbookViewId="0">
      <selection activeCell="A18" sqref="A18"/>
    </sheetView>
  </sheetViews>
  <sheetFormatPr defaultRowHeight="14.4" x14ac:dyDescent="0.3"/>
  <cols>
    <col min="1" max="1" width="32.88671875" customWidth="1"/>
    <col min="3" max="3" width="17.5546875" style="1" customWidth="1"/>
    <col min="4" max="4" width="28.109375" customWidth="1"/>
    <col min="6" max="6" width="13.33203125" customWidth="1"/>
    <col min="8" max="8" width="20.44140625" style="2" customWidth="1"/>
  </cols>
  <sheetData>
    <row r="1" spans="1:7" ht="14.4" customHeight="1" x14ac:dyDescent="0.3">
      <c r="A1" s="57" t="s">
        <v>269</v>
      </c>
      <c r="B1" s="57"/>
      <c r="C1" s="57"/>
      <c r="D1" s="57"/>
      <c r="E1" s="57"/>
      <c r="F1" s="57"/>
      <c r="G1" s="57"/>
    </row>
    <row r="2" spans="1:7" x14ac:dyDescent="0.3">
      <c r="A2" s="57"/>
      <c r="B2" s="57"/>
      <c r="C2" s="57"/>
      <c r="D2" s="57"/>
      <c r="E2" s="57"/>
      <c r="F2" s="57"/>
      <c r="G2" s="57"/>
    </row>
    <row r="3" spans="1:7" x14ac:dyDescent="0.3">
      <c r="A3" s="57"/>
      <c r="B3" s="57"/>
      <c r="C3" s="57"/>
      <c r="D3" s="57"/>
      <c r="E3" s="57"/>
      <c r="F3" s="57"/>
      <c r="G3" s="57"/>
    </row>
    <row r="4" spans="1:7" x14ac:dyDescent="0.3">
      <c r="A4" s="57"/>
      <c r="B4" s="57"/>
      <c r="C4" s="57"/>
      <c r="D4" s="57"/>
      <c r="E4" s="57"/>
      <c r="F4" s="57"/>
      <c r="G4" s="57"/>
    </row>
    <row r="5" spans="1:7" x14ac:dyDescent="0.3">
      <c r="A5" s="59" t="s">
        <v>172</v>
      </c>
      <c r="B5" s="59"/>
      <c r="C5" s="60"/>
      <c r="D5" s="59" t="s">
        <v>171</v>
      </c>
      <c r="E5" s="59"/>
      <c r="F5" s="59"/>
    </row>
    <row r="6" spans="1:7" x14ac:dyDescent="0.3">
      <c r="A6" s="22" t="s">
        <v>173</v>
      </c>
      <c r="B6" s="22" t="s">
        <v>60</v>
      </c>
      <c r="C6" s="23" t="s">
        <v>61</v>
      </c>
      <c r="D6" s="22" t="s">
        <v>173</v>
      </c>
      <c r="E6" s="22" t="s">
        <v>60</v>
      </c>
      <c r="F6" s="22" t="s">
        <v>61</v>
      </c>
    </row>
    <row r="7" spans="1:7" x14ac:dyDescent="0.3">
      <c r="A7" s="9" t="s">
        <v>201</v>
      </c>
      <c r="B7" s="8" t="s">
        <v>202</v>
      </c>
      <c r="C7" s="10" t="s">
        <v>24</v>
      </c>
      <c r="D7" s="31" t="s">
        <v>174</v>
      </c>
      <c r="E7" s="20">
        <v>1</v>
      </c>
      <c r="F7" s="20" t="s">
        <v>128</v>
      </c>
    </row>
    <row r="8" spans="1:7" x14ac:dyDescent="0.3">
      <c r="A8" s="19" t="s">
        <v>203</v>
      </c>
      <c r="B8" s="20" t="s">
        <v>202</v>
      </c>
      <c r="C8" s="21" t="s">
        <v>45</v>
      </c>
      <c r="D8" s="9" t="s">
        <v>175</v>
      </c>
      <c r="E8" s="8">
        <v>1</v>
      </c>
      <c r="F8" s="8" t="s">
        <v>69</v>
      </c>
    </row>
    <row r="9" spans="1:7" x14ac:dyDescent="0.3">
      <c r="A9" s="19" t="s">
        <v>204</v>
      </c>
      <c r="B9" s="20" t="s">
        <v>202</v>
      </c>
      <c r="C9" s="21" t="s">
        <v>15</v>
      </c>
      <c r="D9" s="31" t="s">
        <v>176</v>
      </c>
      <c r="E9" s="20">
        <v>1</v>
      </c>
      <c r="F9" s="20" t="s">
        <v>75</v>
      </c>
    </row>
    <row r="10" spans="1:7" x14ac:dyDescent="0.3">
      <c r="A10" s="19" t="s">
        <v>205</v>
      </c>
      <c r="B10" s="20" t="s">
        <v>202</v>
      </c>
      <c r="C10" s="21" t="s">
        <v>48</v>
      </c>
      <c r="D10" s="9" t="s">
        <v>177</v>
      </c>
      <c r="E10" s="8">
        <v>1</v>
      </c>
      <c r="F10" s="8" t="s">
        <v>130</v>
      </c>
    </row>
    <row r="11" spans="1:7" x14ac:dyDescent="0.3">
      <c r="A11" s="9" t="s">
        <v>176</v>
      </c>
      <c r="B11" s="8" t="s">
        <v>206</v>
      </c>
      <c r="C11" s="10" t="s">
        <v>21</v>
      </c>
      <c r="D11" s="26" t="s">
        <v>178</v>
      </c>
      <c r="E11" s="17">
        <v>2</v>
      </c>
      <c r="F11" s="17" t="s">
        <v>105</v>
      </c>
    </row>
    <row r="12" spans="1:7" x14ac:dyDescent="0.3">
      <c r="A12" s="9"/>
      <c r="B12" s="8"/>
      <c r="C12" s="10" t="s">
        <v>7</v>
      </c>
      <c r="D12" s="24"/>
      <c r="E12" s="8"/>
      <c r="F12" s="8" t="s">
        <v>66</v>
      </c>
    </row>
    <row r="13" spans="1:7" x14ac:dyDescent="0.3">
      <c r="A13" s="16" t="s">
        <v>207</v>
      </c>
      <c r="B13" s="17" t="s">
        <v>208</v>
      </c>
      <c r="C13" s="18" t="s">
        <v>41</v>
      </c>
      <c r="D13" s="34" t="s">
        <v>179</v>
      </c>
      <c r="E13" s="35">
        <v>1</v>
      </c>
      <c r="F13" s="35" t="s">
        <v>102</v>
      </c>
    </row>
    <row r="14" spans="1:7" x14ac:dyDescent="0.3">
      <c r="A14" s="9"/>
      <c r="B14" s="8"/>
      <c r="C14" s="10" t="s">
        <v>31</v>
      </c>
      <c r="D14" s="25" t="s">
        <v>180</v>
      </c>
      <c r="E14" s="14">
        <v>1</v>
      </c>
      <c r="F14" s="14" t="s">
        <v>166</v>
      </c>
    </row>
    <row r="15" spans="1:7" x14ac:dyDescent="0.3">
      <c r="A15" s="13"/>
      <c r="B15" s="14"/>
      <c r="C15" s="15" t="s">
        <v>4</v>
      </c>
      <c r="D15" s="31" t="s">
        <v>181</v>
      </c>
      <c r="E15" s="20">
        <v>1</v>
      </c>
      <c r="F15" s="20" t="s">
        <v>149</v>
      </c>
    </row>
    <row r="16" spans="1:7" x14ac:dyDescent="0.3">
      <c r="A16" s="9" t="s">
        <v>178</v>
      </c>
      <c r="B16" s="8" t="s">
        <v>202</v>
      </c>
      <c r="C16" s="10" t="s">
        <v>42</v>
      </c>
      <c r="D16" s="9" t="s">
        <v>182</v>
      </c>
      <c r="E16" s="8">
        <v>25</v>
      </c>
      <c r="F16" s="8" t="s">
        <v>68</v>
      </c>
    </row>
    <row r="17" spans="1:6" x14ac:dyDescent="0.3">
      <c r="A17" s="19" t="s">
        <v>209</v>
      </c>
      <c r="B17" s="20" t="s">
        <v>202</v>
      </c>
      <c r="C17" s="21" t="s">
        <v>44</v>
      </c>
      <c r="D17" s="9"/>
      <c r="E17" s="8"/>
      <c r="F17" s="8" t="s">
        <v>123</v>
      </c>
    </row>
    <row r="18" spans="1:6" x14ac:dyDescent="0.3">
      <c r="A18" s="9" t="s">
        <v>210</v>
      </c>
      <c r="B18" s="8" t="s">
        <v>206</v>
      </c>
      <c r="C18" s="10" t="s">
        <v>53</v>
      </c>
      <c r="D18" s="9"/>
      <c r="E18" s="8"/>
      <c r="F18" s="8" t="s">
        <v>159</v>
      </c>
    </row>
    <row r="19" spans="1:6" x14ac:dyDescent="0.3">
      <c r="A19" s="9"/>
      <c r="B19" s="8"/>
      <c r="C19" s="10" t="s">
        <v>22</v>
      </c>
      <c r="D19" s="9"/>
      <c r="E19" s="8"/>
      <c r="F19" s="8" t="s">
        <v>113</v>
      </c>
    </row>
    <row r="20" spans="1:6" x14ac:dyDescent="0.3">
      <c r="A20" s="16" t="s">
        <v>211</v>
      </c>
      <c r="B20" s="17" t="s">
        <v>208</v>
      </c>
      <c r="C20" s="18" t="s">
        <v>55</v>
      </c>
      <c r="D20" s="9"/>
      <c r="E20" s="8"/>
      <c r="F20" s="8" t="s">
        <v>116</v>
      </c>
    </row>
    <row r="21" spans="1:6" x14ac:dyDescent="0.3">
      <c r="A21" s="9"/>
      <c r="B21" s="8"/>
      <c r="C21" s="10" t="s">
        <v>8</v>
      </c>
      <c r="D21" s="9"/>
      <c r="E21" s="8"/>
      <c r="F21" s="8" t="s">
        <v>135</v>
      </c>
    </row>
    <row r="22" spans="1:6" x14ac:dyDescent="0.3">
      <c r="A22" s="9"/>
      <c r="B22" s="8"/>
      <c r="C22" s="10" t="s">
        <v>19</v>
      </c>
      <c r="D22" s="9"/>
      <c r="E22" s="8"/>
      <c r="F22" s="8" t="s">
        <v>55</v>
      </c>
    </row>
    <row r="23" spans="1:6" x14ac:dyDescent="0.3">
      <c r="A23" s="19" t="s">
        <v>212</v>
      </c>
      <c r="B23" s="20" t="s">
        <v>202</v>
      </c>
      <c r="C23" s="21" t="s">
        <v>6</v>
      </c>
      <c r="D23" s="9"/>
      <c r="E23" s="8"/>
      <c r="F23" s="8" t="s">
        <v>155</v>
      </c>
    </row>
    <row r="24" spans="1:6" x14ac:dyDescent="0.3">
      <c r="A24" s="19" t="s">
        <v>213</v>
      </c>
      <c r="B24" s="20" t="s">
        <v>202</v>
      </c>
      <c r="C24" s="21" t="s">
        <v>32</v>
      </c>
      <c r="D24" s="9"/>
      <c r="E24" s="8"/>
      <c r="F24" s="8" t="s">
        <v>132</v>
      </c>
    </row>
    <row r="25" spans="1:6" x14ac:dyDescent="0.3">
      <c r="A25" s="9" t="s">
        <v>214</v>
      </c>
      <c r="B25" s="8" t="s">
        <v>206</v>
      </c>
      <c r="C25" s="10" t="s">
        <v>25</v>
      </c>
      <c r="D25" s="9"/>
      <c r="E25" s="8"/>
      <c r="F25" s="8" t="s">
        <v>76</v>
      </c>
    </row>
    <row r="26" spans="1:6" x14ac:dyDescent="0.3">
      <c r="A26" s="13"/>
      <c r="B26" s="14"/>
      <c r="C26" s="15" t="s">
        <v>51</v>
      </c>
      <c r="D26" s="9"/>
      <c r="E26" s="8"/>
      <c r="F26" s="8" t="s">
        <v>138</v>
      </c>
    </row>
    <row r="27" spans="1:6" x14ac:dyDescent="0.3">
      <c r="A27" s="19" t="s">
        <v>215</v>
      </c>
      <c r="B27" s="20" t="s">
        <v>202</v>
      </c>
      <c r="C27" s="21" t="s">
        <v>28</v>
      </c>
      <c r="D27" s="9"/>
      <c r="E27" s="8"/>
      <c r="F27" s="8" t="s">
        <v>85</v>
      </c>
    </row>
    <row r="28" spans="1:6" x14ac:dyDescent="0.3">
      <c r="A28" s="19" t="s">
        <v>216</v>
      </c>
      <c r="B28" s="20" t="s">
        <v>202</v>
      </c>
      <c r="C28" s="21" t="s">
        <v>217</v>
      </c>
      <c r="D28" s="9"/>
      <c r="E28" s="8"/>
      <c r="F28" s="8" t="s">
        <v>67</v>
      </c>
    </row>
    <row r="29" spans="1:6" x14ac:dyDescent="0.3">
      <c r="A29" s="9" t="s">
        <v>218</v>
      </c>
      <c r="B29" s="8" t="s">
        <v>202</v>
      </c>
      <c r="C29" s="10" t="s">
        <v>13</v>
      </c>
      <c r="D29" s="9"/>
      <c r="E29" s="8"/>
      <c r="F29" s="8" t="s">
        <v>147</v>
      </c>
    </row>
    <row r="30" spans="1:6" x14ac:dyDescent="0.3">
      <c r="A30" s="16" t="s">
        <v>182</v>
      </c>
      <c r="B30" s="17" t="s">
        <v>251</v>
      </c>
      <c r="C30" s="18" t="s">
        <v>56</v>
      </c>
      <c r="D30" s="9"/>
      <c r="E30" s="8"/>
      <c r="F30" s="8" t="s">
        <v>90</v>
      </c>
    </row>
    <row r="31" spans="1:6" x14ac:dyDescent="0.3">
      <c r="A31" s="9"/>
      <c r="B31" s="8"/>
      <c r="C31" s="10" t="s">
        <v>40</v>
      </c>
      <c r="D31" s="9"/>
      <c r="E31" s="8"/>
      <c r="F31" s="8" t="s">
        <v>111</v>
      </c>
    </row>
    <row r="32" spans="1:6" x14ac:dyDescent="0.3">
      <c r="A32" s="9"/>
      <c r="B32" s="8"/>
      <c r="C32" s="10" t="s">
        <v>36</v>
      </c>
      <c r="D32" s="9"/>
      <c r="E32" s="8"/>
      <c r="F32" s="8" t="s">
        <v>162</v>
      </c>
    </row>
    <row r="33" spans="1:6" x14ac:dyDescent="0.3">
      <c r="A33" s="9"/>
      <c r="B33" s="8"/>
      <c r="C33" s="10" t="s">
        <v>12</v>
      </c>
      <c r="D33" s="9"/>
      <c r="E33" s="8"/>
      <c r="F33" s="8" t="s">
        <v>88</v>
      </c>
    </row>
    <row r="34" spans="1:6" x14ac:dyDescent="0.3">
      <c r="A34" s="9"/>
      <c r="B34" s="8"/>
      <c r="C34" s="10" t="s">
        <v>1</v>
      </c>
      <c r="D34" s="9"/>
      <c r="E34" s="8"/>
      <c r="F34" s="8" t="s">
        <v>125</v>
      </c>
    </row>
    <row r="35" spans="1:6" x14ac:dyDescent="0.3">
      <c r="A35" s="9"/>
      <c r="B35" s="8"/>
      <c r="C35" s="10" t="s">
        <v>30</v>
      </c>
      <c r="D35" s="9"/>
      <c r="E35" s="8"/>
      <c r="F35" s="8" t="s">
        <v>145</v>
      </c>
    </row>
    <row r="36" spans="1:6" x14ac:dyDescent="0.3">
      <c r="A36" s="9"/>
      <c r="B36" s="8"/>
      <c r="C36" s="10" t="s">
        <v>9</v>
      </c>
      <c r="D36" s="9"/>
      <c r="E36" s="8"/>
      <c r="F36" s="8" t="s">
        <v>82</v>
      </c>
    </row>
    <row r="37" spans="1:6" x14ac:dyDescent="0.3">
      <c r="A37" s="9"/>
      <c r="B37" s="8"/>
      <c r="C37" s="10" t="s">
        <v>38</v>
      </c>
      <c r="D37" s="9"/>
      <c r="E37" s="8"/>
      <c r="F37" s="8" t="s">
        <v>109</v>
      </c>
    </row>
    <row r="38" spans="1:6" x14ac:dyDescent="0.3">
      <c r="A38" s="9"/>
      <c r="B38" s="8"/>
      <c r="C38" s="10" t="s">
        <v>43</v>
      </c>
      <c r="D38" s="9"/>
      <c r="E38" s="8"/>
      <c r="F38" s="8" t="s">
        <v>114</v>
      </c>
    </row>
    <row r="39" spans="1:6" x14ac:dyDescent="0.3">
      <c r="A39" s="9"/>
      <c r="B39" s="8"/>
      <c r="C39" s="10" t="s">
        <v>46</v>
      </c>
      <c r="D39" s="9"/>
      <c r="E39" s="8"/>
      <c r="F39" s="8" t="s">
        <v>96</v>
      </c>
    </row>
    <row r="40" spans="1:6" x14ac:dyDescent="0.3">
      <c r="A40" s="9"/>
      <c r="B40" s="8"/>
      <c r="C40" s="10" t="s">
        <v>50</v>
      </c>
      <c r="D40" s="9"/>
      <c r="E40" s="8"/>
      <c r="F40" s="8" t="s">
        <v>83</v>
      </c>
    </row>
    <row r="41" spans="1:6" x14ac:dyDescent="0.3">
      <c r="A41" s="9"/>
      <c r="B41" s="8"/>
      <c r="C41" s="10" t="s">
        <v>14</v>
      </c>
      <c r="D41" s="26" t="s">
        <v>183</v>
      </c>
      <c r="E41" s="17">
        <v>5</v>
      </c>
      <c r="F41" s="17" t="s">
        <v>134</v>
      </c>
    </row>
    <row r="42" spans="1:6" x14ac:dyDescent="0.3">
      <c r="A42" s="9"/>
      <c r="B42" s="8"/>
      <c r="C42" s="10" t="s">
        <v>54</v>
      </c>
      <c r="D42" s="24"/>
      <c r="E42" s="8"/>
      <c r="F42" s="8" t="s">
        <v>106</v>
      </c>
    </row>
    <row r="43" spans="1:6" x14ac:dyDescent="0.3">
      <c r="A43" s="9"/>
      <c r="B43" s="8"/>
      <c r="C43" s="10" t="s">
        <v>37</v>
      </c>
      <c r="D43" s="24"/>
      <c r="E43" s="8"/>
      <c r="F43" s="8" t="s">
        <v>103</v>
      </c>
    </row>
    <row r="44" spans="1:6" x14ac:dyDescent="0.3">
      <c r="A44" s="9"/>
      <c r="B44" s="8"/>
      <c r="C44" s="10" t="s">
        <v>57</v>
      </c>
      <c r="D44" s="24"/>
      <c r="E44" s="8"/>
      <c r="F44" s="8" t="s">
        <v>141</v>
      </c>
    </row>
    <row r="45" spans="1:6" x14ac:dyDescent="0.3">
      <c r="A45" s="9"/>
      <c r="B45" s="8"/>
      <c r="C45" s="10" t="s">
        <v>0</v>
      </c>
      <c r="D45" s="25"/>
      <c r="E45" s="14"/>
      <c r="F45" s="14" t="s">
        <v>86</v>
      </c>
    </row>
    <row r="46" spans="1:6" x14ac:dyDescent="0.3">
      <c r="A46" s="9"/>
      <c r="B46" s="8"/>
      <c r="C46" s="10" t="s">
        <v>58</v>
      </c>
      <c r="D46" s="34" t="s">
        <v>184</v>
      </c>
      <c r="E46" s="35">
        <v>7</v>
      </c>
      <c r="F46" s="35" t="s">
        <v>137</v>
      </c>
    </row>
    <row r="47" spans="1:6" x14ac:dyDescent="0.3">
      <c r="A47" s="11"/>
      <c r="B47" s="11"/>
      <c r="C47" s="12" t="s">
        <v>170</v>
      </c>
      <c r="D47" s="34"/>
      <c r="E47" s="35"/>
      <c r="F47" s="35" t="s">
        <v>156</v>
      </c>
    </row>
    <row r="48" spans="1:6" x14ac:dyDescent="0.3">
      <c r="A48" s="16" t="s">
        <v>183</v>
      </c>
      <c r="B48" s="17" t="s">
        <v>219</v>
      </c>
      <c r="C48" s="18" t="s">
        <v>10</v>
      </c>
      <c r="D48" s="34"/>
      <c r="E48" s="35"/>
      <c r="F48" s="35" t="s">
        <v>169</v>
      </c>
    </row>
    <row r="49" spans="1:6" x14ac:dyDescent="0.3">
      <c r="A49" s="9"/>
      <c r="B49" s="8"/>
      <c r="C49" s="10" t="s">
        <v>3</v>
      </c>
      <c r="D49" s="34"/>
      <c r="E49" s="35"/>
      <c r="F49" s="35" t="s">
        <v>98</v>
      </c>
    </row>
    <row r="50" spans="1:6" x14ac:dyDescent="0.3">
      <c r="A50" s="9"/>
      <c r="B50" s="8"/>
      <c r="C50" s="10" t="s">
        <v>59</v>
      </c>
      <c r="D50" s="34"/>
      <c r="E50" s="35"/>
      <c r="F50" s="35" t="s">
        <v>95</v>
      </c>
    </row>
    <row r="51" spans="1:6" x14ac:dyDescent="0.3">
      <c r="A51" s="9"/>
      <c r="B51" s="8"/>
      <c r="C51" s="10" t="s">
        <v>27</v>
      </c>
      <c r="D51" s="34"/>
      <c r="E51" s="35"/>
      <c r="F51" s="35" t="s">
        <v>70</v>
      </c>
    </row>
    <row r="52" spans="1:6" x14ac:dyDescent="0.3">
      <c r="A52" s="13"/>
      <c r="B52" s="14"/>
      <c r="C52" s="15" t="s">
        <v>5</v>
      </c>
      <c r="D52" s="34"/>
      <c r="E52" s="35"/>
      <c r="F52" s="35" t="s">
        <v>71</v>
      </c>
    </row>
    <row r="53" spans="1:6" x14ac:dyDescent="0.3">
      <c r="A53" s="34" t="s">
        <v>184</v>
      </c>
      <c r="B53" s="35" t="s">
        <v>208</v>
      </c>
      <c r="C53" s="36" t="s">
        <v>2</v>
      </c>
      <c r="D53" s="25" t="s">
        <v>185</v>
      </c>
      <c r="E53" s="14">
        <v>1</v>
      </c>
      <c r="F53" s="14" t="s">
        <v>186</v>
      </c>
    </row>
    <row r="54" spans="1:6" x14ac:dyDescent="0.3">
      <c r="A54" s="34"/>
      <c r="B54" s="35"/>
      <c r="C54" s="36" t="s">
        <v>34</v>
      </c>
      <c r="D54" s="24" t="s">
        <v>187</v>
      </c>
      <c r="E54" s="8">
        <v>26</v>
      </c>
      <c r="F54" s="8" t="s">
        <v>63</v>
      </c>
    </row>
    <row r="55" spans="1:6" x14ac:dyDescent="0.3">
      <c r="A55" s="34"/>
      <c r="B55" s="35"/>
      <c r="C55" s="36" t="s">
        <v>18</v>
      </c>
      <c r="D55" s="24"/>
      <c r="E55" s="8"/>
      <c r="F55" s="8" t="s">
        <v>117</v>
      </c>
    </row>
    <row r="56" spans="1:6" x14ac:dyDescent="0.3">
      <c r="A56" s="9" t="s">
        <v>185</v>
      </c>
      <c r="B56" s="8" t="s">
        <v>220</v>
      </c>
      <c r="C56" s="10" t="s">
        <v>221</v>
      </c>
      <c r="D56" s="24"/>
      <c r="E56" s="8"/>
      <c r="F56" s="8" t="s">
        <v>139</v>
      </c>
    </row>
    <row r="57" spans="1:6" x14ac:dyDescent="0.3">
      <c r="A57" s="9"/>
      <c r="B57" s="8"/>
      <c r="C57" s="10" t="s">
        <v>222</v>
      </c>
      <c r="D57" s="24"/>
      <c r="E57" s="8"/>
      <c r="F57" s="8" t="s">
        <v>79</v>
      </c>
    </row>
    <row r="58" spans="1:6" x14ac:dyDescent="0.3">
      <c r="A58" s="9"/>
      <c r="B58" s="8"/>
      <c r="C58" s="10" t="s">
        <v>223</v>
      </c>
      <c r="D58" s="24"/>
      <c r="E58" s="8"/>
      <c r="F58" s="8" t="s">
        <v>64</v>
      </c>
    </row>
    <row r="59" spans="1:6" x14ac:dyDescent="0.3">
      <c r="A59" s="9"/>
      <c r="B59" s="8"/>
      <c r="C59" s="10" t="s">
        <v>224</v>
      </c>
      <c r="D59" s="24"/>
      <c r="E59" s="8"/>
      <c r="F59" s="8" t="s">
        <v>80</v>
      </c>
    </row>
    <row r="60" spans="1:6" x14ac:dyDescent="0.3">
      <c r="A60" s="9"/>
      <c r="B60" s="8"/>
      <c r="C60" s="10" t="s">
        <v>225</v>
      </c>
      <c r="D60" s="24"/>
      <c r="E60" s="8"/>
      <c r="F60" s="8" t="s">
        <v>87</v>
      </c>
    </row>
    <row r="61" spans="1:6" x14ac:dyDescent="0.3">
      <c r="A61" s="9"/>
      <c r="B61" s="8"/>
      <c r="C61" s="10" t="s">
        <v>226</v>
      </c>
      <c r="D61" s="24"/>
      <c r="E61" s="8"/>
      <c r="F61" s="8" t="s">
        <v>89</v>
      </c>
    </row>
    <row r="62" spans="1:6" x14ac:dyDescent="0.3">
      <c r="A62" s="9"/>
      <c r="B62" s="8"/>
      <c r="C62" s="10" t="s">
        <v>227</v>
      </c>
      <c r="D62" s="24"/>
      <c r="E62" s="8"/>
      <c r="F62" s="8" t="s">
        <v>120</v>
      </c>
    </row>
    <row r="63" spans="1:6" x14ac:dyDescent="0.3">
      <c r="A63" s="9"/>
      <c r="B63" s="8"/>
      <c r="C63" s="10" t="s">
        <v>228</v>
      </c>
      <c r="D63" s="24"/>
      <c r="E63" s="8"/>
      <c r="F63" s="8" t="s">
        <v>93</v>
      </c>
    </row>
    <row r="64" spans="1:6" x14ac:dyDescent="0.3">
      <c r="A64" s="9"/>
      <c r="B64" s="8"/>
      <c r="C64" s="10" t="s">
        <v>229</v>
      </c>
      <c r="D64" s="24"/>
      <c r="E64" s="8"/>
      <c r="F64" s="8" t="s">
        <v>148</v>
      </c>
    </row>
    <row r="65" spans="1:6" x14ac:dyDescent="0.3">
      <c r="A65" s="13"/>
      <c r="B65" s="14"/>
      <c r="C65" s="15" t="s">
        <v>230</v>
      </c>
      <c r="D65" s="24"/>
      <c r="E65" s="8"/>
      <c r="F65" s="8" t="s">
        <v>118</v>
      </c>
    </row>
    <row r="66" spans="1:6" x14ac:dyDescent="0.3">
      <c r="A66" s="9" t="s">
        <v>187</v>
      </c>
      <c r="B66" s="8" t="s">
        <v>202</v>
      </c>
      <c r="C66" s="10" t="s">
        <v>33</v>
      </c>
      <c r="D66" s="24"/>
      <c r="E66" s="8"/>
      <c r="F66" s="8" t="s">
        <v>126</v>
      </c>
    </row>
    <row r="67" spans="1:6" x14ac:dyDescent="0.3">
      <c r="A67" s="34" t="s">
        <v>188</v>
      </c>
      <c r="B67" s="35" t="s">
        <v>202</v>
      </c>
      <c r="C67" s="36" t="s">
        <v>16</v>
      </c>
      <c r="D67" s="24"/>
      <c r="E67" s="8"/>
      <c r="F67" s="8" t="s">
        <v>100</v>
      </c>
    </row>
    <row r="68" spans="1:6" x14ac:dyDescent="0.3">
      <c r="A68" s="5" t="s">
        <v>231</v>
      </c>
      <c r="B68" s="6" t="s">
        <v>206</v>
      </c>
      <c r="C68" s="7" t="s">
        <v>49</v>
      </c>
      <c r="D68" s="24"/>
      <c r="E68" s="8"/>
      <c r="F68" s="8" t="s">
        <v>143</v>
      </c>
    </row>
    <row r="69" spans="1:6" x14ac:dyDescent="0.3">
      <c r="A69" s="5"/>
      <c r="B69" s="6"/>
      <c r="C69" s="7" t="s">
        <v>47</v>
      </c>
      <c r="D69" s="24"/>
      <c r="E69" s="8"/>
      <c r="F69" s="8" t="s">
        <v>161</v>
      </c>
    </row>
    <row r="70" spans="1:6" x14ac:dyDescent="0.3">
      <c r="A70" s="16" t="s">
        <v>189</v>
      </c>
      <c r="B70" s="17" t="s">
        <v>208</v>
      </c>
      <c r="C70" s="18" t="s">
        <v>52</v>
      </c>
      <c r="D70" s="24"/>
      <c r="E70" s="8"/>
      <c r="F70" s="8" t="s">
        <v>91</v>
      </c>
    </row>
    <row r="71" spans="1:6" x14ac:dyDescent="0.3">
      <c r="A71" s="9"/>
      <c r="B71" s="8"/>
      <c r="C71" s="10" t="s">
        <v>26</v>
      </c>
      <c r="D71" s="24"/>
      <c r="E71" s="8"/>
      <c r="F71" s="8" t="s">
        <v>92</v>
      </c>
    </row>
    <row r="72" spans="1:6" x14ac:dyDescent="0.3">
      <c r="A72" s="13"/>
      <c r="B72" s="14"/>
      <c r="C72" s="15" t="s">
        <v>23</v>
      </c>
      <c r="D72" s="24"/>
      <c r="E72" s="8"/>
      <c r="F72" s="8" t="s">
        <v>74</v>
      </c>
    </row>
    <row r="73" spans="1:6" x14ac:dyDescent="0.3">
      <c r="A73" s="5" t="s">
        <v>190</v>
      </c>
      <c r="B73" s="6" t="s">
        <v>208</v>
      </c>
      <c r="C73" s="7" t="s">
        <v>232</v>
      </c>
      <c r="D73" s="24"/>
      <c r="E73" s="8"/>
      <c r="F73" s="8" t="s">
        <v>131</v>
      </c>
    </row>
    <row r="74" spans="1:6" x14ac:dyDescent="0.3">
      <c r="A74" s="5"/>
      <c r="B74" s="6"/>
      <c r="C74" s="7" t="s">
        <v>233</v>
      </c>
      <c r="D74" s="24"/>
      <c r="E74" s="8"/>
      <c r="F74" s="8" t="s">
        <v>101</v>
      </c>
    </row>
    <row r="75" spans="1:6" x14ac:dyDescent="0.3">
      <c r="A75" s="5"/>
      <c r="B75" s="6"/>
      <c r="C75" s="7" t="s">
        <v>234</v>
      </c>
      <c r="D75" s="24"/>
      <c r="E75" s="8"/>
      <c r="F75" s="8" t="s">
        <v>99</v>
      </c>
    </row>
    <row r="76" spans="1:6" x14ac:dyDescent="0.3">
      <c r="A76" s="19" t="s">
        <v>194</v>
      </c>
      <c r="B76" s="20" t="s">
        <v>202</v>
      </c>
      <c r="C76" s="21" t="s">
        <v>17</v>
      </c>
      <c r="D76" s="24"/>
      <c r="E76" s="8"/>
      <c r="F76" s="8" t="s">
        <v>78</v>
      </c>
    </row>
    <row r="77" spans="1:6" x14ac:dyDescent="0.3">
      <c r="A77" s="5" t="s">
        <v>235</v>
      </c>
      <c r="B77" s="6" t="s">
        <v>206</v>
      </c>
      <c r="C77" s="7" t="s">
        <v>236</v>
      </c>
      <c r="D77" s="24"/>
      <c r="E77" s="8"/>
      <c r="F77" s="8" t="s">
        <v>72</v>
      </c>
    </row>
    <row r="78" spans="1:6" x14ac:dyDescent="0.3">
      <c r="A78" s="5"/>
      <c r="B78" s="6"/>
      <c r="C78" s="7" t="s">
        <v>237</v>
      </c>
      <c r="D78" s="24"/>
      <c r="E78" s="8"/>
      <c r="F78" s="8" t="s">
        <v>108</v>
      </c>
    </row>
    <row r="79" spans="1:6" x14ac:dyDescent="0.3">
      <c r="A79" s="19" t="s">
        <v>238</v>
      </c>
      <c r="B79" s="20" t="s">
        <v>202</v>
      </c>
      <c r="C79" s="21" t="s">
        <v>239</v>
      </c>
      <c r="D79" s="25"/>
      <c r="E79" s="14"/>
      <c r="F79" s="14" t="s">
        <v>104</v>
      </c>
    </row>
    <row r="80" spans="1:6" x14ac:dyDescent="0.3">
      <c r="A80" s="16" t="s">
        <v>240</v>
      </c>
      <c r="B80" s="17" t="s">
        <v>206</v>
      </c>
      <c r="C80" s="18" t="s">
        <v>35</v>
      </c>
      <c r="D80" s="34" t="s">
        <v>188</v>
      </c>
      <c r="E80" s="35">
        <v>15</v>
      </c>
      <c r="F80" s="35" t="s">
        <v>62</v>
      </c>
    </row>
    <row r="81" spans="1:6" x14ac:dyDescent="0.3">
      <c r="A81" s="13"/>
      <c r="B81" s="14"/>
      <c r="C81" s="15" t="s">
        <v>29</v>
      </c>
      <c r="D81" s="34"/>
      <c r="E81" s="35"/>
      <c r="F81" s="35" t="s">
        <v>97</v>
      </c>
    </row>
    <row r="82" spans="1:6" x14ac:dyDescent="0.3">
      <c r="A82" s="9" t="s">
        <v>195</v>
      </c>
      <c r="B82" s="8" t="s">
        <v>241</v>
      </c>
      <c r="C82" s="10" t="s">
        <v>242</v>
      </c>
      <c r="D82" s="34"/>
      <c r="E82" s="35"/>
      <c r="F82" s="35" t="s">
        <v>150</v>
      </c>
    </row>
    <row r="83" spans="1:6" x14ac:dyDescent="0.3">
      <c r="A83" s="9"/>
      <c r="B83" s="8"/>
      <c r="C83" s="10" t="s">
        <v>243</v>
      </c>
      <c r="D83" s="34"/>
      <c r="E83" s="35"/>
      <c r="F83" s="35" t="s">
        <v>73</v>
      </c>
    </row>
    <row r="84" spans="1:6" x14ac:dyDescent="0.3">
      <c r="A84" s="9"/>
      <c r="B84" s="8"/>
      <c r="C84" s="10" t="s">
        <v>244</v>
      </c>
      <c r="D84" s="34"/>
      <c r="E84" s="35"/>
      <c r="F84" s="35" t="s">
        <v>84</v>
      </c>
    </row>
    <row r="85" spans="1:6" x14ac:dyDescent="0.3">
      <c r="A85" s="9"/>
      <c r="B85" s="8"/>
      <c r="C85" s="10" t="s">
        <v>245</v>
      </c>
      <c r="D85" s="34"/>
      <c r="E85" s="35"/>
      <c r="F85" s="35" t="s">
        <v>122</v>
      </c>
    </row>
    <row r="86" spans="1:6" x14ac:dyDescent="0.3">
      <c r="A86" s="9"/>
      <c r="B86" s="8"/>
      <c r="C86" s="10" t="s">
        <v>246</v>
      </c>
      <c r="D86" s="34"/>
      <c r="E86" s="35"/>
      <c r="F86" s="35" t="s">
        <v>81</v>
      </c>
    </row>
    <row r="87" spans="1:6" x14ac:dyDescent="0.3">
      <c r="A87" s="9"/>
      <c r="B87" s="8"/>
      <c r="C87" s="10" t="s">
        <v>247</v>
      </c>
      <c r="D87" s="34"/>
      <c r="E87" s="35"/>
      <c r="F87" s="35" t="s">
        <v>77</v>
      </c>
    </row>
    <row r="88" spans="1:6" x14ac:dyDescent="0.3">
      <c r="A88" s="9"/>
      <c r="B88" s="8"/>
      <c r="C88" s="10" t="s">
        <v>248</v>
      </c>
      <c r="D88" s="34"/>
      <c r="E88" s="35"/>
      <c r="F88" s="35" t="s">
        <v>112</v>
      </c>
    </row>
    <row r="89" spans="1:6" x14ac:dyDescent="0.3">
      <c r="A89" s="34" t="s">
        <v>199</v>
      </c>
      <c r="B89" s="35" t="s">
        <v>202</v>
      </c>
      <c r="C89" s="36" t="s">
        <v>39</v>
      </c>
      <c r="D89" s="34"/>
      <c r="E89" s="35"/>
      <c r="F89" s="35" t="s">
        <v>65</v>
      </c>
    </row>
    <row r="90" spans="1:6" x14ac:dyDescent="0.3">
      <c r="A90" s="19" t="s">
        <v>249</v>
      </c>
      <c r="B90" s="20" t="s">
        <v>202</v>
      </c>
      <c r="C90" s="21" t="s">
        <v>250</v>
      </c>
      <c r="D90" s="34"/>
      <c r="E90" s="35"/>
      <c r="F90" s="35" t="s">
        <v>167</v>
      </c>
    </row>
    <row r="91" spans="1:6" x14ac:dyDescent="0.3">
      <c r="A91" s="9" t="s">
        <v>200</v>
      </c>
      <c r="B91" s="8" t="s">
        <v>206</v>
      </c>
      <c r="C91" s="10" t="s">
        <v>11</v>
      </c>
      <c r="D91" s="34"/>
      <c r="E91" s="35"/>
      <c r="F91" s="35" t="s">
        <v>163</v>
      </c>
    </row>
    <row r="92" spans="1:6" x14ac:dyDescent="0.3">
      <c r="A92" s="13"/>
      <c r="B92" s="14"/>
      <c r="C92" s="15" t="s">
        <v>20</v>
      </c>
      <c r="D92" s="34"/>
      <c r="E92" s="35"/>
      <c r="F92" s="35" t="s">
        <v>94</v>
      </c>
    </row>
    <row r="93" spans="1:6" x14ac:dyDescent="0.3">
      <c r="A93" s="4"/>
      <c r="B93" s="2"/>
      <c r="C93" s="3"/>
      <c r="D93" s="34"/>
      <c r="E93" s="35"/>
      <c r="F93" s="35" t="s">
        <v>154</v>
      </c>
    </row>
    <row r="94" spans="1:6" x14ac:dyDescent="0.3">
      <c r="A94" s="4"/>
      <c r="B94" s="2"/>
      <c r="C94" s="3"/>
      <c r="D94" s="34"/>
      <c r="E94" s="35"/>
      <c r="F94" s="35" t="s">
        <v>168</v>
      </c>
    </row>
    <row r="95" spans="1:6" x14ac:dyDescent="0.3">
      <c r="A95" s="4"/>
      <c r="B95" s="2"/>
      <c r="C95" s="3"/>
      <c r="D95" s="31" t="s">
        <v>189</v>
      </c>
      <c r="E95" s="20">
        <v>1</v>
      </c>
      <c r="F95" s="20" t="s">
        <v>142</v>
      </c>
    </row>
    <row r="96" spans="1:6" x14ac:dyDescent="0.3">
      <c r="D96" s="5" t="s">
        <v>190</v>
      </c>
      <c r="E96" s="6">
        <v>1</v>
      </c>
      <c r="F96" s="6" t="s">
        <v>191</v>
      </c>
    </row>
    <row r="97" spans="4:6" x14ac:dyDescent="0.3">
      <c r="D97" s="29" t="s">
        <v>192</v>
      </c>
      <c r="E97" s="30">
        <v>2</v>
      </c>
      <c r="F97" s="30" t="s">
        <v>160</v>
      </c>
    </row>
    <row r="98" spans="4:6" x14ac:dyDescent="0.3">
      <c r="D98" s="27"/>
      <c r="E98" s="28"/>
      <c r="F98" s="28" t="s">
        <v>153</v>
      </c>
    </row>
    <row r="99" spans="4:6" x14ac:dyDescent="0.3">
      <c r="D99" s="9" t="s">
        <v>193</v>
      </c>
      <c r="E99" s="8">
        <v>8</v>
      </c>
      <c r="F99" s="8" t="s">
        <v>121</v>
      </c>
    </row>
    <row r="100" spans="4:6" x14ac:dyDescent="0.3">
      <c r="D100" s="9"/>
      <c r="E100" s="8"/>
      <c r="F100" s="8" t="s">
        <v>164</v>
      </c>
    </row>
    <row r="101" spans="4:6" x14ac:dyDescent="0.3">
      <c r="D101" s="9"/>
      <c r="E101" s="8"/>
      <c r="F101" s="8" t="s">
        <v>107</v>
      </c>
    </row>
    <row r="102" spans="4:6" x14ac:dyDescent="0.3">
      <c r="D102" s="9"/>
      <c r="E102" s="8"/>
      <c r="F102" s="8" t="s">
        <v>158</v>
      </c>
    </row>
    <row r="103" spans="4:6" x14ac:dyDescent="0.3">
      <c r="D103" s="9"/>
      <c r="E103" s="8"/>
      <c r="F103" s="8" t="s">
        <v>133</v>
      </c>
    </row>
    <row r="104" spans="4:6" x14ac:dyDescent="0.3">
      <c r="D104" s="9"/>
      <c r="E104" s="8"/>
      <c r="F104" s="8" t="s">
        <v>129</v>
      </c>
    </row>
    <row r="105" spans="4:6" x14ac:dyDescent="0.3">
      <c r="D105" s="9"/>
      <c r="E105" s="8"/>
      <c r="F105" s="8" t="s">
        <v>115</v>
      </c>
    </row>
    <row r="106" spans="4:6" x14ac:dyDescent="0.3">
      <c r="D106" s="9"/>
      <c r="E106" s="8"/>
      <c r="F106" s="8" t="s">
        <v>110</v>
      </c>
    </row>
    <row r="107" spans="4:6" x14ac:dyDescent="0.3">
      <c r="D107" s="31" t="s">
        <v>194</v>
      </c>
      <c r="E107" s="20">
        <v>1</v>
      </c>
      <c r="F107" s="20" t="s">
        <v>140</v>
      </c>
    </row>
    <row r="108" spans="4:6" x14ac:dyDescent="0.3">
      <c r="D108" s="9" t="s">
        <v>195</v>
      </c>
      <c r="E108" s="8">
        <v>2</v>
      </c>
      <c r="F108" s="8" t="s">
        <v>196</v>
      </c>
    </row>
    <row r="109" spans="4:6" x14ac:dyDescent="0.3">
      <c r="D109" s="9"/>
      <c r="E109" s="8"/>
      <c r="F109" s="8" t="s">
        <v>197</v>
      </c>
    </row>
    <row r="110" spans="4:6" x14ac:dyDescent="0.3">
      <c r="D110" s="26" t="s">
        <v>198</v>
      </c>
      <c r="E110" s="17">
        <v>3</v>
      </c>
      <c r="F110" s="17" t="s">
        <v>151</v>
      </c>
    </row>
    <row r="111" spans="4:6" x14ac:dyDescent="0.3">
      <c r="D111" s="24"/>
      <c r="E111" s="8"/>
      <c r="F111" s="8" t="s">
        <v>157</v>
      </c>
    </row>
    <row r="112" spans="4:6" x14ac:dyDescent="0.3">
      <c r="D112" s="25"/>
      <c r="E112" s="14"/>
      <c r="F112" s="14" t="s">
        <v>144</v>
      </c>
    </row>
    <row r="113" spans="4:6" x14ac:dyDescent="0.3">
      <c r="D113" s="34" t="s">
        <v>199</v>
      </c>
      <c r="E113" s="35">
        <v>1</v>
      </c>
      <c r="F113" s="35" t="s">
        <v>127</v>
      </c>
    </row>
    <row r="114" spans="4:6" x14ac:dyDescent="0.3">
      <c r="D114" s="26" t="s">
        <v>200</v>
      </c>
      <c r="E114" s="17">
        <v>6</v>
      </c>
      <c r="F114" s="17" t="s">
        <v>146</v>
      </c>
    </row>
    <row r="115" spans="4:6" x14ac:dyDescent="0.3">
      <c r="D115" s="32"/>
      <c r="E115" s="8"/>
      <c r="F115" s="8" t="s">
        <v>124</v>
      </c>
    </row>
    <row r="116" spans="4:6" x14ac:dyDescent="0.3">
      <c r="D116" s="32"/>
      <c r="E116" s="8"/>
      <c r="F116" s="8" t="s">
        <v>119</v>
      </c>
    </row>
    <row r="117" spans="4:6" x14ac:dyDescent="0.3">
      <c r="D117" s="32"/>
      <c r="E117" s="8"/>
      <c r="F117" s="8" t="s">
        <v>165</v>
      </c>
    </row>
    <row r="118" spans="4:6" x14ac:dyDescent="0.3">
      <c r="D118" s="32"/>
      <c r="E118" s="8"/>
      <c r="F118" s="8" t="s">
        <v>136</v>
      </c>
    </row>
    <row r="119" spans="4:6" x14ac:dyDescent="0.3">
      <c r="D119" s="33"/>
      <c r="E119" s="14"/>
      <c r="F119" s="14" t="s">
        <v>152</v>
      </c>
    </row>
  </sheetData>
  <mergeCells count="3">
    <mergeCell ref="A5:C5"/>
    <mergeCell ref="D5:F5"/>
    <mergeCell ref="A1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19AD-7DE9-4EF2-97C3-9D7ED5F2B3D8}">
  <dimension ref="A1:M41"/>
  <sheetViews>
    <sheetView zoomScale="103" workbookViewId="0">
      <selection sqref="A1:K2"/>
    </sheetView>
  </sheetViews>
  <sheetFormatPr defaultRowHeight="14.4" x14ac:dyDescent="0.3"/>
  <cols>
    <col min="1" max="1" width="14.21875" style="2" customWidth="1"/>
    <col min="2" max="2" width="8.88671875" style="2"/>
    <col min="5" max="5" width="7.109375" customWidth="1"/>
    <col min="6" max="6" width="11.5546875" customWidth="1"/>
    <col min="7" max="7" width="13.44140625" customWidth="1"/>
    <col min="11" max="11" width="16.77734375" customWidth="1"/>
  </cols>
  <sheetData>
    <row r="1" spans="1:13" ht="14.4" customHeight="1" x14ac:dyDescent="0.3">
      <c r="A1" s="61" t="s">
        <v>365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3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3" x14ac:dyDescent="0.3">
      <c r="A3" s="27"/>
      <c r="B3" t="s">
        <v>347</v>
      </c>
    </row>
    <row r="4" spans="1:13" x14ac:dyDescent="0.3">
      <c r="A4" s="34"/>
      <c r="B4" t="s">
        <v>348</v>
      </c>
    </row>
    <row r="5" spans="1:13" x14ac:dyDescent="0.3">
      <c r="A5" s="2" t="s">
        <v>255</v>
      </c>
      <c r="D5" t="s">
        <v>363</v>
      </c>
      <c r="H5" t="s">
        <v>254</v>
      </c>
      <c r="K5" t="s">
        <v>363</v>
      </c>
    </row>
    <row r="6" spans="1:13" x14ac:dyDescent="0.3">
      <c r="D6" s="54" t="s">
        <v>352</v>
      </c>
      <c r="E6" s="54" t="s">
        <v>353</v>
      </c>
      <c r="F6" s="54" t="s">
        <v>354</v>
      </c>
      <c r="K6" s="54" t="s">
        <v>352</v>
      </c>
      <c r="L6" s="54" t="s">
        <v>353</v>
      </c>
      <c r="M6" s="54" t="s">
        <v>354</v>
      </c>
    </row>
    <row r="7" spans="1:13" x14ac:dyDescent="0.3">
      <c r="A7" s="5" t="s">
        <v>231</v>
      </c>
      <c r="B7" s="6" t="s">
        <v>206</v>
      </c>
      <c r="C7" s="7" t="s">
        <v>49</v>
      </c>
      <c r="D7" t="s">
        <v>340</v>
      </c>
      <c r="E7" t="s">
        <v>335</v>
      </c>
      <c r="F7" t="s">
        <v>342</v>
      </c>
      <c r="H7" s="5" t="s">
        <v>190</v>
      </c>
      <c r="I7" s="6">
        <v>1</v>
      </c>
      <c r="J7" s="6" t="s">
        <v>191</v>
      </c>
      <c r="K7" t="s">
        <v>337</v>
      </c>
      <c r="L7" t="s">
        <v>336</v>
      </c>
      <c r="M7" t="s">
        <v>341</v>
      </c>
    </row>
    <row r="8" spans="1:13" x14ac:dyDescent="0.3">
      <c r="A8" s="5"/>
      <c r="B8" s="6"/>
      <c r="C8" s="7" t="s">
        <v>47</v>
      </c>
      <c r="D8" t="s">
        <v>338</v>
      </c>
      <c r="E8" t="s">
        <v>336</v>
      </c>
      <c r="F8" s="52" t="s">
        <v>343</v>
      </c>
      <c r="H8" s="29" t="s">
        <v>192</v>
      </c>
      <c r="I8" s="30">
        <v>2</v>
      </c>
      <c r="J8" s="30" t="s">
        <v>160</v>
      </c>
      <c r="K8" t="s">
        <v>336</v>
      </c>
      <c r="L8" t="s">
        <v>336</v>
      </c>
      <c r="M8" t="s">
        <v>336</v>
      </c>
    </row>
    <row r="9" spans="1:13" x14ac:dyDescent="0.3">
      <c r="A9" s="5" t="s">
        <v>190</v>
      </c>
      <c r="B9" s="6" t="s">
        <v>208</v>
      </c>
      <c r="C9" s="7" t="s">
        <v>232</v>
      </c>
      <c r="D9" t="s">
        <v>338</v>
      </c>
      <c r="E9" t="s">
        <v>336</v>
      </c>
      <c r="F9" s="53" t="s">
        <v>336</v>
      </c>
      <c r="H9" s="27"/>
      <c r="I9" s="28"/>
      <c r="J9" s="28" t="s">
        <v>153</v>
      </c>
      <c r="K9" t="s">
        <v>337</v>
      </c>
      <c r="L9" t="s">
        <v>336</v>
      </c>
      <c r="M9" t="s">
        <v>341</v>
      </c>
    </row>
    <row r="10" spans="1:13" x14ac:dyDescent="0.3">
      <c r="A10" s="5"/>
      <c r="B10" s="6"/>
      <c r="C10" s="7" t="s">
        <v>233</v>
      </c>
      <c r="D10" t="s">
        <v>338</v>
      </c>
      <c r="E10" t="s">
        <v>334</v>
      </c>
      <c r="F10" s="52" t="s">
        <v>342</v>
      </c>
    </row>
    <row r="11" spans="1:13" x14ac:dyDescent="0.3">
      <c r="A11" s="5"/>
      <c r="B11" s="6"/>
      <c r="C11" s="7" t="s">
        <v>234</v>
      </c>
      <c r="D11" t="s">
        <v>338</v>
      </c>
      <c r="E11" t="s">
        <v>336</v>
      </c>
      <c r="F11" t="s">
        <v>336</v>
      </c>
    </row>
    <row r="12" spans="1:13" x14ac:dyDescent="0.3">
      <c r="A12" s="5" t="s">
        <v>235</v>
      </c>
      <c r="B12" s="6" t="s">
        <v>206</v>
      </c>
      <c r="C12" s="7" t="s">
        <v>236</v>
      </c>
      <c r="D12" t="s">
        <v>338</v>
      </c>
      <c r="E12" t="s">
        <v>336</v>
      </c>
      <c r="F12" t="s">
        <v>341</v>
      </c>
    </row>
    <row r="13" spans="1:13" x14ac:dyDescent="0.3">
      <c r="A13" s="5"/>
      <c r="B13" s="6"/>
      <c r="C13" s="7" t="s">
        <v>237</v>
      </c>
      <c r="D13" t="s">
        <v>336</v>
      </c>
      <c r="E13" t="s">
        <v>336</v>
      </c>
      <c r="F13" t="s">
        <v>336</v>
      </c>
    </row>
    <row r="15" spans="1:13" x14ac:dyDescent="0.3">
      <c r="D15" t="s">
        <v>364</v>
      </c>
      <c r="E15" t="s">
        <v>350</v>
      </c>
      <c r="K15" t="s">
        <v>364</v>
      </c>
      <c r="L15" t="s">
        <v>350</v>
      </c>
    </row>
    <row r="16" spans="1:13" x14ac:dyDescent="0.3">
      <c r="A16" s="34" t="s">
        <v>184</v>
      </c>
      <c r="B16" s="35" t="s">
        <v>208</v>
      </c>
      <c r="C16" s="36" t="s">
        <v>2</v>
      </c>
      <c r="D16" t="s">
        <v>302</v>
      </c>
      <c r="E16" t="s">
        <v>339</v>
      </c>
      <c r="H16" s="34" t="s">
        <v>179</v>
      </c>
      <c r="I16" s="35">
        <v>1</v>
      </c>
      <c r="J16" s="35" t="s">
        <v>102</v>
      </c>
      <c r="K16" t="s">
        <v>306</v>
      </c>
      <c r="L16" t="s">
        <v>332</v>
      </c>
    </row>
    <row r="17" spans="1:12" x14ac:dyDescent="0.3">
      <c r="A17" s="34"/>
      <c r="B17" s="35"/>
      <c r="C17" s="36" t="s">
        <v>34</v>
      </c>
      <c r="D17" t="s">
        <v>329</v>
      </c>
      <c r="E17" t="s">
        <v>330</v>
      </c>
      <c r="H17" s="34" t="s">
        <v>184</v>
      </c>
      <c r="I17" s="35">
        <v>7</v>
      </c>
      <c r="J17" s="35" t="s">
        <v>137</v>
      </c>
      <c r="K17" t="s">
        <v>307</v>
      </c>
      <c r="L17" t="s">
        <v>356</v>
      </c>
    </row>
    <row r="18" spans="1:12" x14ac:dyDescent="0.3">
      <c r="A18" s="34"/>
      <c r="B18" s="35"/>
      <c r="C18" s="36" t="s">
        <v>18</v>
      </c>
      <c r="D18" t="s">
        <v>358</v>
      </c>
      <c r="E18" t="s">
        <v>359</v>
      </c>
      <c r="H18" s="34"/>
      <c r="I18" s="35"/>
      <c r="J18" s="35" t="s">
        <v>156</v>
      </c>
      <c r="K18" t="s">
        <v>351</v>
      </c>
    </row>
    <row r="19" spans="1:12" x14ac:dyDescent="0.3">
      <c r="A19" s="34" t="s">
        <v>188</v>
      </c>
      <c r="B19" s="35" t="s">
        <v>202</v>
      </c>
      <c r="C19" s="36" t="s">
        <v>16</v>
      </c>
      <c r="D19" t="s">
        <v>304</v>
      </c>
      <c r="E19" t="s">
        <v>305</v>
      </c>
      <c r="F19" t="s">
        <v>331</v>
      </c>
      <c r="H19" s="34"/>
      <c r="I19" s="35"/>
      <c r="J19" s="35" t="s">
        <v>169</v>
      </c>
      <c r="K19" t="s">
        <v>308</v>
      </c>
      <c r="L19" t="s">
        <v>356</v>
      </c>
    </row>
    <row r="20" spans="1:12" x14ac:dyDescent="0.3">
      <c r="A20" s="34" t="s">
        <v>199</v>
      </c>
      <c r="B20" s="35" t="s">
        <v>202</v>
      </c>
      <c r="C20" s="36" t="s">
        <v>39</v>
      </c>
      <c r="D20" t="s">
        <v>303</v>
      </c>
      <c r="E20" t="s">
        <v>360</v>
      </c>
      <c r="H20" s="34"/>
      <c r="I20" s="35"/>
      <c r="J20" s="35" t="s">
        <v>98</v>
      </c>
      <c r="K20" t="s">
        <v>309</v>
      </c>
      <c r="L20" t="s">
        <v>332</v>
      </c>
    </row>
    <row r="21" spans="1:12" x14ac:dyDescent="0.3">
      <c r="H21" s="34"/>
      <c r="I21" s="35"/>
      <c r="J21" s="35" t="s">
        <v>95</v>
      </c>
      <c r="K21" t="s">
        <v>310</v>
      </c>
      <c r="L21" t="s">
        <v>355</v>
      </c>
    </row>
    <row r="22" spans="1:12" x14ac:dyDescent="0.3">
      <c r="H22" s="34"/>
      <c r="I22" s="35"/>
      <c r="J22" s="35" t="s">
        <v>70</v>
      </c>
      <c r="K22" t="s">
        <v>311</v>
      </c>
      <c r="L22" t="s">
        <v>332</v>
      </c>
    </row>
    <row r="23" spans="1:12" x14ac:dyDescent="0.3">
      <c r="H23" s="34"/>
      <c r="I23" s="35"/>
      <c r="J23" s="35" t="s">
        <v>71</v>
      </c>
      <c r="K23" t="s">
        <v>312</v>
      </c>
      <c r="L23" t="s">
        <v>332</v>
      </c>
    </row>
    <row r="24" spans="1:12" x14ac:dyDescent="0.3">
      <c r="H24" s="34" t="s">
        <v>188</v>
      </c>
      <c r="I24" s="35">
        <v>15</v>
      </c>
      <c r="J24" s="35" t="s">
        <v>62</v>
      </c>
      <c r="K24" t="s">
        <v>313</v>
      </c>
      <c r="L24" t="s">
        <v>355</v>
      </c>
    </row>
    <row r="25" spans="1:12" x14ac:dyDescent="0.3">
      <c r="H25" s="34"/>
      <c r="I25" s="35"/>
      <c r="J25" s="35" t="s">
        <v>97</v>
      </c>
      <c r="K25" t="s">
        <v>314</v>
      </c>
      <c r="L25" t="s">
        <v>333</v>
      </c>
    </row>
    <row r="26" spans="1:12" x14ac:dyDescent="0.3">
      <c r="H26" s="34"/>
      <c r="I26" s="35"/>
      <c r="J26" s="35" t="s">
        <v>150</v>
      </c>
      <c r="K26" t="s">
        <v>315</v>
      </c>
      <c r="L26" t="s">
        <v>357</v>
      </c>
    </row>
    <row r="27" spans="1:12" x14ac:dyDescent="0.3">
      <c r="H27" s="34"/>
      <c r="I27" s="35"/>
      <c r="J27" s="35" t="s">
        <v>73</v>
      </c>
      <c r="K27" t="s">
        <v>316</v>
      </c>
      <c r="L27" t="s">
        <v>355</v>
      </c>
    </row>
    <row r="28" spans="1:12" x14ac:dyDescent="0.3">
      <c r="H28" s="34"/>
      <c r="I28" s="35"/>
      <c r="J28" s="35" t="s">
        <v>84</v>
      </c>
      <c r="K28" t="s">
        <v>317</v>
      </c>
      <c r="L28" t="s">
        <v>356</v>
      </c>
    </row>
    <row r="29" spans="1:12" x14ac:dyDescent="0.3">
      <c r="H29" s="34"/>
      <c r="I29" s="35"/>
      <c r="J29" s="35" t="s">
        <v>122</v>
      </c>
      <c r="K29" t="s">
        <v>318</v>
      </c>
      <c r="L29" t="s">
        <v>332</v>
      </c>
    </row>
    <row r="30" spans="1:12" x14ac:dyDescent="0.3">
      <c r="H30" s="34"/>
      <c r="I30" s="35"/>
      <c r="J30" s="35" t="s">
        <v>81</v>
      </c>
      <c r="K30" t="s">
        <v>319</v>
      </c>
      <c r="L30" t="s">
        <v>355</v>
      </c>
    </row>
    <row r="31" spans="1:12" x14ac:dyDescent="0.3">
      <c r="H31" s="34"/>
      <c r="I31" s="35"/>
      <c r="J31" s="35" t="s">
        <v>77</v>
      </c>
      <c r="K31" t="s">
        <v>320</v>
      </c>
      <c r="L31" t="s">
        <v>356</v>
      </c>
    </row>
    <row r="32" spans="1:12" x14ac:dyDescent="0.3">
      <c r="H32" s="34"/>
      <c r="I32" s="35"/>
      <c r="J32" s="35" t="s">
        <v>112</v>
      </c>
      <c r="K32" t="s">
        <v>321</v>
      </c>
      <c r="L32" t="s">
        <v>356</v>
      </c>
    </row>
    <row r="33" spans="3:12" x14ac:dyDescent="0.3">
      <c r="H33" s="34"/>
      <c r="I33" s="35"/>
      <c r="J33" s="35" t="s">
        <v>65</v>
      </c>
      <c r="K33" t="s">
        <v>322</v>
      </c>
      <c r="L33" t="s">
        <v>356</v>
      </c>
    </row>
    <row r="34" spans="3:12" x14ac:dyDescent="0.3">
      <c r="H34" s="34"/>
      <c r="I34" s="35"/>
      <c r="J34" s="35" t="s">
        <v>167</v>
      </c>
      <c r="K34" t="s">
        <v>323</v>
      </c>
      <c r="L34" t="s">
        <v>334</v>
      </c>
    </row>
    <row r="35" spans="3:12" x14ac:dyDescent="0.3">
      <c r="H35" s="34"/>
      <c r="I35" s="35"/>
      <c r="J35" s="35" t="s">
        <v>163</v>
      </c>
      <c r="K35" t="s">
        <v>324</v>
      </c>
      <c r="L35" t="s">
        <v>356</v>
      </c>
    </row>
    <row r="36" spans="3:12" x14ac:dyDescent="0.3">
      <c r="H36" s="34"/>
      <c r="I36" s="35"/>
      <c r="J36" s="35" t="s">
        <v>94</v>
      </c>
      <c r="K36" t="s">
        <v>325</v>
      </c>
      <c r="L36" t="s">
        <v>356</v>
      </c>
    </row>
    <row r="37" spans="3:12" x14ac:dyDescent="0.3">
      <c r="H37" s="34"/>
      <c r="I37" s="35"/>
      <c r="J37" s="35" t="s">
        <v>154</v>
      </c>
      <c r="K37" t="s">
        <v>326</v>
      </c>
      <c r="L37" t="s">
        <v>356</v>
      </c>
    </row>
    <row r="38" spans="3:12" x14ac:dyDescent="0.3">
      <c r="H38" s="34"/>
      <c r="I38" s="35"/>
      <c r="J38" s="35" t="s">
        <v>168</v>
      </c>
      <c r="K38" t="s">
        <v>327</v>
      </c>
      <c r="L38" t="s">
        <v>356</v>
      </c>
    </row>
    <row r="39" spans="3:12" x14ac:dyDescent="0.3">
      <c r="H39" s="34" t="s">
        <v>199</v>
      </c>
      <c r="I39" s="35">
        <v>1</v>
      </c>
      <c r="J39" s="35" t="s">
        <v>127</v>
      </c>
      <c r="K39" t="s">
        <v>328</v>
      </c>
      <c r="L39" t="s">
        <v>356</v>
      </c>
    </row>
    <row r="40" spans="3:12" x14ac:dyDescent="0.3">
      <c r="C40" s="2"/>
    </row>
    <row r="41" spans="3:12" x14ac:dyDescent="0.3">
      <c r="C41" s="2"/>
    </row>
  </sheetData>
  <mergeCells count="1">
    <mergeCell ref="A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D3B4-24E8-4B07-A796-ED191A923B8C}">
  <dimension ref="A1:M62"/>
  <sheetViews>
    <sheetView zoomScale="106" zoomScaleNormal="100" workbookViewId="0"/>
  </sheetViews>
  <sheetFormatPr defaultRowHeight="14.4" x14ac:dyDescent="0.3"/>
  <cols>
    <col min="1" max="1" width="86.21875" customWidth="1"/>
    <col min="3" max="3" width="10.88671875" customWidth="1"/>
  </cols>
  <sheetData>
    <row r="1" spans="1:13" x14ac:dyDescent="0.3">
      <c r="A1" s="54" t="s">
        <v>361</v>
      </c>
    </row>
    <row r="2" spans="1:13" x14ac:dyDescent="0.3">
      <c r="A2" s="37" t="s">
        <v>297</v>
      </c>
      <c r="D2" t="s">
        <v>295</v>
      </c>
      <c r="E2" t="s">
        <v>278</v>
      </c>
      <c r="F2" t="s">
        <v>293</v>
      </c>
      <c r="J2" t="s">
        <v>296</v>
      </c>
      <c r="K2" t="s">
        <v>278</v>
      </c>
      <c r="L2" t="s">
        <v>293</v>
      </c>
    </row>
    <row r="3" spans="1:13" x14ac:dyDescent="0.3">
      <c r="C3" s="40" t="s">
        <v>279</v>
      </c>
      <c r="D3">
        <v>26</v>
      </c>
      <c r="E3">
        <v>173</v>
      </c>
      <c r="F3">
        <f>D3/E3</f>
        <v>0.15028901734104047</v>
      </c>
      <c r="I3" s="40" t="s">
        <v>279</v>
      </c>
      <c r="J3">
        <v>29</v>
      </c>
      <c r="K3">
        <v>888</v>
      </c>
      <c r="L3">
        <f>J3/K3</f>
        <v>3.2657657657657657E-2</v>
      </c>
    </row>
    <row r="4" spans="1:13" x14ac:dyDescent="0.3">
      <c r="C4" s="40" t="s">
        <v>283</v>
      </c>
      <c r="E4">
        <v>57</v>
      </c>
      <c r="I4" s="40" t="s">
        <v>283</v>
      </c>
      <c r="K4">
        <v>505</v>
      </c>
    </row>
    <row r="5" spans="1:13" x14ac:dyDescent="0.3">
      <c r="C5" s="40" t="s">
        <v>284</v>
      </c>
      <c r="D5">
        <v>8</v>
      </c>
      <c r="E5">
        <v>45</v>
      </c>
      <c r="F5">
        <f t="shared" ref="F5:F10" si="0">D5/E5</f>
        <v>0.17777777777777778</v>
      </c>
      <c r="I5" s="40" t="s">
        <v>284</v>
      </c>
      <c r="J5">
        <v>1</v>
      </c>
      <c r="K5">
        <v>24</v>
      </c>
      <c r="L5">
        <f t="shared" ref="L5:L10" si="1">J5/K5</f>
        <v>4.1666666666666664E-2</v>
      </c>
    </row>
    <row r="6" spans="1:13" x14ac:dyDescent="0.3">
      <c r="C6" s="40" t="s">
        <v>280</v>
      </c>
      <c r="D6">
        <v>7</v>
      </c>
      <c r="E6">
        <v>52</v>
      </c>
      <c r="F6">
        <f t="shared" si="0"/>
        <v>0.13461538461538461</v>
      </c>
      <c r="I6" s="40" t="s">
        <v>280</v>
      </c>
      <c r="J6">
        <v>4</v>
      </c>
      <c r="K6">
        <v>75</v>
      </c>
      <c r="L6">
        <f t="shared" si="1"/>
        <v>5.3333333333333337E-2</v>
      </c>
    </row>
    <row r="7" spans="1:13" x14ac:dyDescent="0.3">
      <c r="C7" s="40" t="s">
        <v>285</v>
      </c>
      <c r="D7">
        <v>8</v>
      </c>
      <c r="E7">
        <v>96</v>
      </c>
      <c r="F7">
        <f t="shared" si="0"/>
        <v>8.3333333333333329E-2</v>
      </c>
      <c r="I7" s="40" t="s">
        <v>285</v>
      </c>
      <c r="J7">
        <v>1</v>
      </c>
      <c r="K7">
        <v>8</v>
      </c>
      <c r="L7">
        <f t="shared" si="1"/>
        <v>0.125</v>
      </c>
    </row>
    <row r="8" spans="1:13" x14ac:dyDescent="0.3">
      <c r="C8" s="40" t="s">
        <v>281</v>
      </c>
      <c r="D8">
        <v>1</v>
      </c>
      <c r="E8">
        <v>7</v>
      </c>
      <c r="F8">
        <f t="shared" si="0"/>
        <v>0.14285714285714285</v>
      </c>
      <c r="I8" s="40" t="s">
        <v>281</v>
      </c>
      <c r="J8">
        <v>0</v>
      </c>
      <c r="K8">
        <v>2</v>
      </c>
      <c r="L8">
        <f t="shared" si="1"/>
        <v>0</v>
      </c>
    </row>
    <row r="9" spans="1:13" x14ac:dyDescent="0.3">
      <c r="A9" s="39"/>
      <c r="C9" s="40" t="s">
        <v>282</v>
      </c>
      <c r="D9">
        <v>2</v>
      </c>
      <c r="E9">
        <v>54</v>
      </c>
      <c r="F9">
        <f t="shared" si="0"/>
        <v>3.7037037037037035E-2</v>
      </c>
      <c r="I9" s="40" t="s">
        <v>282</v>
      </c>
      <c r="J9">
        <v>10</v>
      </c>
      <c r="K9">
        <v>199</v>
      </c>
      <c r="L9">
        <f t="shared" si="1"/>
        <v>5.0251256281407038E-2</v>
      </c>
    </row>
    <row r="10" spans="1:13" x14ac:dyDescent="0.3">
      <c r="C10" s="40" t="s">
        <v>286</v>
      </c>
      <c r="D10">
        <v>0</v>
      </c>
      <c r="E10">
        <v>14</v>
      </c>
      <c r="F10">
        <f t="shared" si="0"/>
        <v>0</v>
      </c>
      <c r="I10" s="40" t="s">
        <v>286</v>
      </c>
      <c r="J10">
        <v>2</v>
      </c>
      <c r="K10">
        <v>103</v>
      </c>
      <c r="L10">
        <f t="shared" si="1"/>
        <v>1.9417475728155338E-2</v>
      </c>
    </row>
    <row r="12" spans="1:13" x14ac:dyDescent="0.3">
      <c r="C12" s="37" t="s">
        <v>294</v>
      </c>
    </row>
    <row r="13" spans="1:13" x14ac:dyDescent="0.3">
      <c r="C13" t="s">
        <v>287</v>
      </c>
      <c r="F13" t="s">
        <v>273</v>
      </c>
      <c r="I13" t="s">
        <v>287</v>
      </c>
      <c r="L13" t="s">
        <v>273</v>
      </c>
    </row>
    <row r="14" spans="1:13" x14ac:dyDescent="0.3">
      <c r="D14" t="s">
        <v>271</v>
      </c>
      <c r="E14" t="s">
        <v>292</v>
      </c>
      <c r="J14" t="s">
        <v>271</v>
      </c>
      <c r="K14" t="s">
        <v>292</v>
      </c>
    </row>
    <row r="15" spans="1:13" x14ac:dyDescent="0.3">
      <c r="C15" s="42" t="s">
        <v>279</v>
      </c>
      <c r="D15" s="43">
        <v>26</v>
      </c>
      <c r="E15" s="43">
        <f>E3-D15</f>
        <v>147</v>
      </c>
      <c r="F15" s="43">
        <v>0.64810000000000001</v>
      </c>
      <c r="G15" t="s">
        <v>288</v>
      </c>
      <c r="I15" s="42" t="s">
        <v>279</v>
      </c>
      <c r="J15" s="43">
        <v>29</v>
      </c>
      <c r="K15" s="43">
        <f>K3-J15</f>
        <v>859</v>
      </c>
      <c r="L15" s="43">
        <v>0.55659999999999998</v>
      </c>
      <c r="M15" t="s">
        <v>288</v>
      </c>
    </row>
    <row r="16" spans="1:13" x14ac:dyDescent="0.3">
      <c r="C16" s="41" t="s">
        <v>284</v>
      </c>
      <c r="D16" s="22">
        <v>8</v>
      </c>
      <c r="E16" s="22">
        <f>E5-D16</f>
        <v>37</v>
      </c>
      <c r="F16" s="22"/>
      <c r="I16" s="41" t="s">
        <v>284</v>
      </c>
      <c r="J16" s="22">
        <v>1</v>
      </c>
      <c r="K16" s="22">
        <f>K5-J16</f>
        <v>23</v>
      </c>
      <c r="L16" s="22"/>
    </row>
    <row r="18" spans="1:12" x14ac:dyDescent="0.3">
      <c r="C18" s="45" t="s">
        <v>300</v>
      </c>
    </row>
    <row r="19" spans="1:12" x14ac:dyDescent="0.3">
      <c r="C19" t="s">
        <v>287</v>
      </c>
      <c r="F19" t="s">
        <v>273</v>
      </c>
      <c r="I19" t="s">
        <v>287</v>
      </c>
      <c r="L19" t="s">
        <v>273</v>
      </c>
    </row>
    <row r="20" spans="1:12" x14ac:dyDescent="0.3">
      <c r="D20" t="s">
        <v>271</v>
      </c>
      <c r="E20" t="s">
        <v>292</v>
      </c>
      <c r="J20" t="s">
        <v>271</v>
      </c>
      <c r="K20" t="s">
        <v>292</v>
      </c>
    </row>
    <row r="21" spans="1:12" x14ac:dyDescent="0.3">
      <c r="C21" s="42" t="s">
        <v>279</v>
      </c>
      <c r="D21" s="43">
        <v>26</v>
      </c>
      <c r="E21" s="43">
        <v>147</v>
      </c>
      <c r="F21" s="43">
        <v>1</v>
      </c>
      <c r="I21" s="42" t="s">
        <v>279</v>
      </c>
      <c r="J21" s="43">
        <v>29</v>
      </c>
      <c r="K21" s="43">
        <v>859</v>
      </c>
      <c r="L21" s="43">
        <v>0.31719999999999998</v>
      </c>
    </row>
    <row r="22" spans="1:12" x14ac:dyDescent="0.3">
      <c r="C22" s="41" t="s">
        <v>280</v>
      </c>
      <c r="D22" s="22">
        <v>7</v>
      </c>
      <c r="E22" s="22">
        <f>E6-D22</f>
        <v>45</v>
      </c>
      <c r="F22" s="22"/>
      <c r="I22" s="41" t="s">
        <v>280</v>
      </c>
      <c r="J22" s="22">
        <v>4</v>
      </c>
      <c r="K22" s="22">
        <f>K6-J22</f>
        <v>71</v>
      </c>
      <c r="L22" s="22"/>
    </row>
    <row r="23" spans="1:12" x14ac:dyDescent="0.3">
      <c r="C23" s="40" t="s">
        <v>279</v>
      </c>
      <c r="D23">
        <v>26</v>
      </c>
      <c r="E23">
        <v>147</v>
      </c>
      <c r="F23">
        <v>0.1285</v>
      </c>
      <c r="I23" s="40" t="s">
        <v>279</v>
      </c>
      <c r="J23">
        <v>29</v>
      </c>
      <c r="K23">
        <v>859</v>
      </c>
      <c r="L23">
        <v>0.23930000000000001</v>
      </c>
    </row>
    <row r="24" spans="1:12" x14ac:dyDescent="0.3">
      <c r="C24" s="40" t="s">
        <v>285</v>
      </c>
      <c r="D24">
        <v>8</v>
      </c>
      <c r="E24">
        <f>E7-D24</f>
        <v>88</v>
      </c>
      <c r="I24" s="40" t="s">
        <v>285</v>
      </c>
      <c r="J24">
        <v>1</v>
      </c>
      <c r="K24">
        <f>K7-J24</f>
        <v>7</v>
      </c>
    </row>
    <row r="25" spans="1:12" x14ac:dyDescent="0.3">
      <c r="C25" s="42" t="s">
        <v>279</v>
      </c>
      <c r="D25" s="43">
        <v>26</v>
      </c>
      <c r="E25" s="43">
        <v>147</v>
      </c>
      <c r="F25" s="43">
        <v>1</v>
      </c>
      <c r="I25" s="42" t="s">
        <v>279</v>
      </c>
      <c r="J25" s="43">
        <v>29</v>
      </c>
      <c r="K25" s="43">
        <v>859</v>
      </c>
      <c r="L25" s="43">
        <v>1</v>
      </c>
    </row>
    <row r="26" spans="1:12" x14ac:dyDescent="0.3">
      <c r="C26" s="41" t="s">
        <v>281</v>
      </c>
      <c r="D26" s="22">
        <v>1</v>
      </c>
      <c r="E26" s="22">
        <f>E8-D26</f>
        <v>6</v>
      </c>
      <c r="F26" s="22"/>
      <c r="I26" s="41" t="s">
        <v>281</v>
      </c>
      <c r="J26" s="22">
        <v>0</v>
      </c>
      <c r="K26" s="22">
        <v>2</v>
      </c>
      <c r="L26" s="22"/>
    </row>
    <row r="27" spans="1:12" x14ac:dyDescent="0.3">
      <c r="C27" s="40" t="s">
        <v>279</v>
      </c>
      <c r="D27">
        <v>26</v>
      </c>
      <c r="E27">
        <v>147</v>
      </c>
      <c r="F27">
        <v>3.116E-2</v>
      </c>
      <c r="G27" t="s">
        <v>289</v>
      </c>
      <c r="I27" s="40" t="s">
        <v>279</v>
      </c>
      <c r="J27">
        <v>29</v>
      </c>
      <c r="K27">
        <v>859</v>
      </c>
      <c r="L27">
        <v>0.21229999999999999</v>
      </c>
    </row>
    <row r="28" spans="1:12" x14ac:dyDescent="0.3">
      <c r="C28" s="40" t="s">
        <v>282</v>
      </c>
      <c r="D28">
        <v>2</v>
      </c>
      <c r="E28">
        <f>E9-D28</f>
        <v>52</v>
      </c>
      <c r="I28" s="40" t="s">
        <v>282</v>
      </c>
      <c r="J28">
        <v>10</v>
      </c>
      <c r="K28">
        <f>K9-J28</f>
        <v>189</v>
      </c>
    </row>
    <row r="29" spans="1:12" x14ac:dyDescent="0.3">
      <c r="C29" s="42" t="s">
        <v>279</v>
      </c>
      <c r="D29" s="43">
        <v>26</v>
      </c>
      <c r="E29" s="43">
        <v>147</v>
      </c>
      <c r="F29" s="43">
        <v>0.2238</v>
      </c>
      <c r="I29" s="42" t="s">
        <v>279</v>
      </c>
      <c r="J29" s="43">
        <v>29</v>
      </c>
      <c r="K29" s="43">
        <v>859</v>
      </c>
      <c r="L29" s="43"/>
    </row>
    <row r="30" spans="1:12" x14ac:dyDescent="0.3">
      <c r="A30" s="22"/>
      <c r="B30" s="22"/>
      <c r="C30" s="41" t="s">
        <v>286</v>
      </c>
      <c r="D30" s="22">
        <v>0</v>
      </c>
      <c r="E30" s="22">
        <f>E10-D30</f>
        <v>14</v>
      </c>
      <c r="F30" s="22"/>
      <c r="G30" s="22"/>
      <c r="H30" s="22"/>
      <c r="I30" s="41" t="s">
        <v>286</v>
      </c>
      <c r="J30" s="22">
        <v>2</v>
      </c>
      <c r="K30" s="22">
        <f>K10-J30</f>
        <v>101</v>
      </c>
      <c r="L30" s="22">
        <v>0.76290000000000002</v>
      </c>
    </row>
    <row r="31" spans="1:12" x14ac:dyDescent="0.3">
      <c r="A31" s="37" t="s">
        <v>298</v>
      </c>
      <c r="B31" s="37" t="s">
        <v>254</v>
      </c>
      <c r="C31" s="37" t="s">
        <v>255</v>
      </c>
      <c r="D31" s="37"/>
      <c r="E31" s="37"/>
      <c r="F31" s="37" t="s">
        <v>290</v>
      </c>
    </row>
    <row r="32" spans="1:12" x14ac:dyDescent="0.3">
      <c r="A32" s="46" t="s">
        <v>256</v>
      </c>
      <c r="B32">
        <v>1129</v>
      </c>
      <c r="C32">
        <v>264</v>
      </c>
      <c r="F32" t="s">
        <v>287</v>
      </c>
    </row>
    <row r="33" spans="1:11" x14ac:dyDescent="0.3">
      <c r="A33" s="46" t="s">
        <v>257</v>
      </c>
      <c r="B33">
        <v>635</v>
      </c>
      <c r="C33">
        <v>188</v>
      </c>
      <c r="F33" s="39" t="s">
        <v>270</v>
      </c>
      <c r="G33" t="s">
        <v>271</v>
      </c>
      <c r="H33" t="s">
        <v>272</v>
      </c>
      <c r="J33" t="s">
        <v>273</v>
      </c>
    </row>
    <row r="34" spans="1:11" x14ac:dyDescent="0.3">
      <c r="F34" s="47" t="s">
        <v>276</v>
      </c>
      <c r="G34" s="43">
        <v>3</v>
      </c>
      <c r="H34" s="43">
        <v>632</v>
      </c>
      <c r="I34" s="43"/>
      <c r="J34" s="43">
        <v>1.872E-3</v>
      </c>
      <c r="K34" t="s">
        <v>301</v>
      </c>
    </row>
    <row r="35" spans="1:11" x14ac:dyDescent="0.3">
      <c r="F35" s="44" t="s">
        <v>275</v>
      </c>
      <c r="G35" s="22">
        <v>7</v>
      </c>
      <c r="H35" s="22">
        <v>181</v>
      </c>
      <c r="I35" s="22"/>
      <c r="J35" s="22"/>
    </row>
    <row r="36" spans="1:11" x14ac:dyDescent="0.3">
      <c r="A36" s="46" t="s">
        <v>258</v>
      </c>
      <c r="B36">
        <v>24</v>
      </c>
      <c r="C36">
        <v>5</v>
      </c>
      <c r="F36" s="39" t="s">
        <v>274</v>
      </c>
      <c r="G36">
        <v>24</v>
      </c>
      <c r="H36">
        <v>1105</v>
      </c>
      <c r="J36">
        <v>1</v>
      </c>
    </row>
    <row r="37" spans="1:11" x14ac:dyDescent="0.3">
      <c r="A37" s="46" t="s">
        <v>259</v>
      </c>
      <c r="B37">
        <v>3</v>
      </c>
      <c r="C37">
        <v>7</v>
      </c>
      <c r="F37" s="44" t="s">
        <v>277</v>
      </c>
      <c r="G37">
        <v>5</v>
      </c>
      <c r="H37">
        <v>259</v>
      </c>
    </row>
    <row r="38" spans="1:11" x14ac:dyDescent="0.3">
      <c r="A38" s="46"/>
      <c r="F38" s="39" t="s">
        <v>274</v>
      </c>
      <c r="G38" s="43">
        <v>24</v>
      </c>
      <c r="H38" s="43">
        <v>1105</v>
      </c>
      <c r="I38" s="43"/>
      <c r="J38" s="43"/>
    </row>
    <row r="39" spans="1:11" x14ac:dyDescent="0.3">
      <c r="A39" s="46" t="s">
        <v>261</v>
      </c>
      <c r="B39" t="s">
        <v>264</v>
      </c>
      <c r="C39" t="s">
        <v>266</v>
      </c>
      <c r="F39" s="44" t="s">
        <v>275</v>
      </c>
      <c r="G39" s="22">
        <v>7</v>
      </c>
      <c r="H39" s="22">
        <v>181</v>
      </c>
      <c r="I39" s="22"/>
      <c r="J39" s="22">
        <v>0.1913</v>
      </c>
    </row>
    <row r="40" spans="1:11" x14ac:dyDescent="0.3">
      <c r="A40" s="46" t="s">
        <v>260</v>
      </c>
      <c r="B40" t="s">
        <v>265</v>
      </c>
      <c r="C40" t="s">
        <v>267</v>
      </c>
      <c r="F40" s="47" t="s">
        <v>274</v>
      </c>
      <c r="G40" s="43">
        <v>24</v>
      </c>
      <c r="H40" s="43">
        <v>1105</v>
      </c>
      <c r="I40" s="43"/>
      <c r="J40" s="43"/>
    </row>
    <row r="41" spans="1:11" x14ac:dyDescent="0.3">
      <c r="F41" s="44" t="s">
        <v>276</v>
      </c>
      <c r="G41" s="22">
        <v>3</v>
      </c>
      <c r="H41" s="22">
        <v>632</v>
      </c>
      <c r="I41" s="22"/>
      <c r="J41" s="22">
        <v>7.293E-3</v>
      </c>
      <c r="K41" t="s">
        <v>291</v>
      </c>
    </row>
    <row r="42" spans="1:11" x14ac:dyDescent="0.3">
      <c r="F42" s="47" t="s">
        <v>277</v>
      </c>
      <c r="G42" s="49">
        <v>5</v>
      </c>
      <c r="H42" s="43">
        <f>264-5</f>
        <v>259</v>
      </c>
      <c r="I42" s="43"/>
      <c r="J42" s="43"/>
    </row>
    <row r="43" spans="1:11" x14ac:dyDescent="0.3">
      <c r="B43" s="50"/>
      <c r="C43" s="50"/>
      <c r="F43" s="39" t="s">
        <v>275</v>
      </c>
      <c r="G43" s="51">
        <v>7</v>
      </c>
      <c r="H43">
        <v>181</v>
      </c>
      <c r="J43">
        <v>0.24990000000000001</v>
      </c>
    </row>
    <row r="44" spans="1:11" x14ac:dyDescent="0.3">
      <c r="F44" s="47" t="s">
        <v>277</v>
      </c>
      <c r="G44" s="49">
        <v>5</v>
      </c>
      <c r="H44" s="43">
        <f>264-5</f>
        <v>259</v>
      </c>
      <c r="I44" s="43"/>
      <c r="J44" s="43"/>
    </row>
    <row r="45" spans="1:11" x14ac:dyDescent="0.3">
      <c r="A45" s="48"/>
      <c r="F45" s="44" t="s">
        <v>276</v>
      </c>
      <c r="G45" s="22">
        <v>3</v>
      </c>
      <c r="H45" s="22">
        <v>632</v>
      </c>
      <c r="I45" s="22"/>
      <c r="J45" s="22">
        <v>5.2380000000000003E-2</v>
      </c>
    </row>
    <row r="46" spans="1:11" x14ac:dyDescent="0.3">
      <c r="A46" s="48"/>
    </row>
    <row r="47" spans="1:11" x14ac:dyDescent="0.3">
      <c r="A47" s="46" t="s">
        <v>346</v>
      </c>
      <c r="B47">
        <v>2</v>
      </c>
      <c r="C47">
        <v>5</v>
      </c>
      <c r="F47" s="47" t="s">
        <v>276</v>
      </c>
      <c r="G47" s="43">
        <v>2</v>
      </c>
      <c r="H47" s="43">
        <v>633</v>
      </c>
      <c r="I47" s="43"/>
      <c r="J47" s="43">
        <v>8.3049999999999999E-3</v>
      </c>
      <c r="K47" t="s">
        <v>301</v>
      </c>
    </row>
    <row r="48" spans="1:11" x14ac:dyDescent="0.3">
      <c r="A48" s="46" t="s">
        <v>260</v>
      </c>
      <c r="B48" t="s">
        <v>344</v>
      </c>
      <c r="C48" t="s">
        <v>345</v>
      </c>
      <c r="F48" s="44" t="s">
        <v>275</v>
      </c>
      <c r="G48" s="22">
        <v>5</v>
      </c>
      <c r="H48" s="22">
        <v>183</v>
      </c>
      <c r="I48" s="22"/>
      <c r="J48" s="22"/>
    </row>
    <row r="49" spans="2:12" x14ac:dyDescent="0.3">
      <c r="B49" s="40"/>
      <c r="L49" s="40"/>
    </row>
    <row r="50" spans="2:12" x14ac:dyDescent="0.3">
      <c r="B50" s="40"/>
      <c r="L50" s="40"/>
    </row>
    <row r="51" spans="2:12" x14ac:dyDescent="0.3">
      <c r="B51" s="40"/>
      <c r="G51" s="40"/>
      <c r="L51" s="40"/>
    </row>
    <row r="52" spans="2:12" x14ac:dyDescent="0.3">
      <c r="B52" s="40"/>
      <c r="G52" s="40"/>
      <c r="L52" s="40"/>
    </row>
    <row r="53" spans="2:12" x14ac:dyDescent="0.3">
      <c r="B53" s="40"/>
      <c r="G53" s="40"/>
      <c r="L53" s="40"/>
    </row>
    <row r="54" spans="2:12" x14ac:dyDescent="0.3">
      <c r="B54" s="40"/>
      <c r="G54" s="40"/>
      <c r="L54" s="40"/>
    </row>
    <row r="55" spans="2:12" x14ac:dyDescent="0.3">
      <c r="B55" s="40"/>
      <c r="G55" s="40"/>
      <c r="L55" s="40"/>
    </row>
    <row r="56" spans="2:12" x14ac:dyDescent="0.3">
      <c r="B56" s="40"/>
      <c r="G56" s="40"/>
      <c r="L56" s="40"/>
    </row>
    <row r="57" spans="2:12" x14ac:dyDescent="0.3">
      <c r="B57" s="40"/>
      <c r="L57" s="40"/>
    </row>
    <row r="58" spans="2:12" x14ac:dyDescent="0.3">
      <c r="B58" s="40"/>
      <c r="L58" s="40"/>
    </row>
    <row r="59" spans="2:12" x14ac:dyDescent="0.3">
      <c r="B59" s="40"/>
      <c r="L59" s="40"/>
    </row>
    <row r="60" spans="2:12" x14ac:dyDescent="0.3">
      <c r="B60" s="40"/>
      <c r="L60" s="40"/>
    </row>
    <row r="61" spans="2:12" x14ac:dyDescent="0.3">
      <c r="B61" s="40"/>
      <c r="L61" s="40"/>
    </row>
    <row r="62" spans="2:12" x14ac:dyDescent="0.3">
      <c r="B62" s="40"/>
      <c r="L62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3522-B653-40E2-896D-18C40A9103BC}">
  <dimension ref="A1:A13"/>
  <sheetViews>
    <sheetView workbookViewId="0"/>
  </sheetViews>
  <sheetFormatPr defaultRowHeight="14.4" x14ac:dyDescent="0.3"/>
  <sheetData>
    <row r="1" spans="1:1" x14ac:dyDescent="0.3">
      <c r="A1" s="37" t="s">
        <v>381</v>
      </c>
    </row>
    <row r="2" spans="1:1" x14ac:dyDescent="0.3">
      <c r="A2" t="s">
        <v>382</v>
      </c>
    </row>
    <row r="3" spans="1:1" x14ac:dyDescent="0.3">
      <c r="A3" s="62" t="s">
        <v>370</v>
      </c>
    </row>
    <row r="4" spans="1:1" x14ac:dyDescent="0.3">
      <c r="A4" s="62" t="s">
        <v>371</v>
      </c>
    </row>
    <row r="5" spans="1:1" x14ac:dyDescent="0.3">
      <c r="A5" s="62" t="s">
        <v>372</v>
      </c>
    </row>
    <row r="6" spans="1:1" x14ac:dyDescent="0.3">
      <c r="A6" s="62" t="s">
        <v>373</v>
      </c>
    </row>
    <row r="7" spans="1:1" x14ac:dyDescent="0.3">
      <c r="A7" s="62" t="s">
        <v>374</v>
      </c>
    </row>
    <row r="8" spans="1:1" x14ac:dyDescent="0.3">
      <c r="A8" s="62" t="s">
        <v>375</v>
      </c>
    </row>
    <row r="9" spans="1:1" x14ac:dyDescent="0.3">
      <c r="A9" s="62" t="s">
        <v>376</v>
      </c>
    </row>
    <row r="10" spans="1:1" x14ac:dyDescent="0.3">
      <c r="A10" s="62" t="s">
        <v>377</v>
      </c>
    </row>
    <row r="11" spans="1:1" x14ac:dyDescent="0.3">
      <c r="A11" s="62" t="s">
        <v>378</v>
      </c>
    </row>
    <row r="12" spans="1:1" x14ac:dyDescent="0.3">
      <c r="A12" s="62" t="s">
        <v>379</v>
      </c>
    </row>
    <row r="13" spans="1:1" x14ac:dyDescent="0.3">
      <c r="A13" s="62" t="s">
        <v>380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SData S15</vt:lpstr>
      <vt:lpstr>Intersections</vt:lpstr>
      <vt:lpstr>biased-unbiased</vt:lpstr>
      <vt:lpstr>Fractions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2025-06-05T08:19:26Z</dcterms:created>
  <dcterms:modified xsi:type="dcterms:W3CDTF">2026-08-12T08:36:49Z</dcterms:modified>
</cp:coreProperties>
</file>