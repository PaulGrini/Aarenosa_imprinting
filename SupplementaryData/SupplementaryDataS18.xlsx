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Z:\EpiHybrids\arenosa_RNA_seq\manuscript\NewPhytologist_submission\REVISION-APRIL2026\SuppData_R1\"/>
    </mc:Choice>
  </mc:AlternateContent>
  <xr:revisionPtr revIDLastSave="0" documentId="8_{DB3B85A9-6828-4922-961F-D223E483F460}" xr6:coauthVersionLast="47" xr6:coauthVersionMax="47" xr10:uidLastSave="{00000000-0000-0000-0000-000000000000}"/>
  <bookViews>
    <workbookView xWindow="40320" yWindow="5370" windowWidth="25935" windowHeight="15450" xr2:uid="{349935FD-5AAB-43C2-901E-460C81FFF657}"/>
  </bookViews>
  <sheets>
    <sheet name="SData S1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4" i="1"/>
  <c r="B13" i="1"/>
  <c r="B12" i="1"/>
  <c r="B11" i="1"/>
  <c r="C11" i="1" l="1"/>
  <c r="D11" i="1"/>
  <c r="E11" i="1" s="1"/>
  <c r="D14" i="1"/>
  <c r="C15" i="1"/>
  <c r="D15" i="1"/>
  <c r="E15" i="1"/>
  <c r="C12" i="1"/>
  <c r="D12" i="1"/>
  <c r="C13" i="1"/>
  <c r="D13" i="1"/>
  <c r="C14" i="1"/>
  <c r="F15" i="1" l="1"/>
  <c r="E12" i="1"/>
  <c r="F11" i="1"/>
  <c r="E13" i="1"/>
  <c r="F13" i="1" s="1"/>
  <c r="F12" i="1"/>
  <c r="E14" i="1"/>
  <c r="F14" i="1" s="1"/>
</calcChain>
</file>

<file path=xl/sharedStrings.xml><?xml version="1.0" encoding="utf-8"?>
<sst xmlns="http://schemas.openxmlformats.org/spreadsheetml/2006/main" count="25" uniqueCount="25">
  <si>
    <t>total PEGs</t>
  </si>
  <si>
    <t>MEGs</t>
  </si>
  <si>
    <t>PEGs</t>
  </si>
  <si>
    <t>#MATRIX(number of pathway-genes in test list, number of non-pathway-genes in test list, number of pathway-genes not in test-list, tot num of genes not in test-list and not in pathway )</t>
  </si>
  <si>
    <t># of pathway-genes in test list</t>
  </si>
  <si>
    <t xml:space="preserve"> # of non-pathway-genes in test list</t>
  </si>
  <si>
    <t xml:space="preserve"> # of pathway-genes not in test-list</t>
  </si>
  <si>
    <t xml:space="preserve"> tot num of genes not in test-list and not in pathway </t>
  </si>
  <si>
    <t xml:space="preserve">    "UB-transferase_PEGs" = c(15, 56, 742, 32980),</t>
  </si>
  <si>
    <t xml:space="preserve">    "UB-ligase_PEGs" = c(11, 60, 461, 33261),</t>
  </si>
  <si>
    <t>OddsRatio</t>
  </si>
  <si>
    <t>p-value</t>
  </si>
  <si>
    <t>FISHER'S EXACT TEST</t>
  </si>
  <si>
    <t>Log2-OddsRatio</t>
  </si>
  <si>
    <t xml:space="preserve">    "F-box_PEGs" = c(19, 52, 1302, 32420),</t>
  </si>
  <si>
    <t xml:space="preserve">    "F-box_MEGs" = c(7, 498, 1314, 31974),</t>
  </si>
  <si>
    <t>total</t>
  </si>
  <si>
    <r>
      <t xml:space="preserve">total genes in </t>
    </r>
    <r>
      <rPr>
        <i/>
        <sz val="11"/>
        <color theme="1"/>
        <rFont val="Aptos Narrow"/>
        <family val="2"/>
        <scheme val="minor"/>
      </rPr>
      <t>A. arenosa</t>
    </r>
  </si>
  <si>
    <t xml:space="preserve">total F-box </t>
  </si>
  <si>
    <t>total 4-fold endosperm enriched MEGs</t>
  </si>
  <si>
    <t>total COP9 signalosome (CSN)</t>
  </si>
  <si>
    <t>total GO:0004840_ubiquitin-transferase activity (UB-transferase)</t>
  </si>
  <si>
    <t>total GO:0061630_ubiquitin-ligase activity (UB-ligase)</t>
  </si>
  <si>
    <t xml:space="preserve">    "CSN_MEGs" = c(5, 500, 6, 33282)</t>
  </si>
  <si>
    <r>
      <t xml:space="preserve">Supplementary Data S18. Contingency table and Fisher's Exact test for </t>
    </r>
    <r>
      <rPr>
        <b/>
        <i/>
        <sz val="11"/>
        <color theme="1"/>
        <rFont val="Aptos Narrow"/>
        <family val="2"/>
        <scheme val="minor"/>
      </rPr>
      <t>A. arenosa.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</si>
</sst>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000000"/>
    <numFmt numFmtId="165" formatCode="0.0000000000000"/>
    <numFmt numFmtId="166" formatCode="0.000000000000000000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"/>
      <color rgb="FF000000"/>
      <name val="Lucida Console"/>
      <family val="3"/>
    </font>
    <font>
      <sz val="8"/>
      <color rgb="FF000000"/>
      <name val="Aptos"/>
      <family val="2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166" fontId="0" fillId="0" borderId="0" xfId="0" applyNumberForma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86B2E-CB28-4F07-A08E-E2E230685995}">
  <dimension ref="A1:M23"/>
  <sheetViews>
    <sheetView tabSelected="1" workbookViewId="0">
      <selection activeCell="A27" sqref="A27"/>
    </sheetView>
  </sheetViews>
  <sheetFormatPr defaultRowHeight="14.4" x14ac:dyDescent="0.3"/>
  <cols>
    <col min="1" max="1" width="49.44140625" customWidth="1"/>
    <col min="2" max="2" width="40" customWidth="1"/>
    <col min="11" max="11" width="21.88671875" bestFit="1" customWidth="1"/>
    <col min="13" max="13" width="15.6640625" bestFit="1" customWidth="1"/>
  </cols>
  <sheetData>
    <row r="1" spans="1:13" x14ac:dyDescent="0.3">
      <c r="A1" s="5" t="s">
        <v>24</v>
      </c>
    </row>
    <row r="2" spans="1:13" x14ac:dyDescent="0.3">
      <c r="A2" t="s">
        <v>17</v>
      </c>
      <c r="B2">
        <v>33793</v>
      </c>
    </row>
    <row r="3" spans="1:13" x14ac:dyDescent="0.3">
      <c r="A3" t="s">
        <v>19</v>
      </c>
      <c r="B3">
        <v>505</v>
      </c>
    </row>
    <row r="4" spans="1:13" x14ac:dyDescent="0.3">
      <c r="A4" t="s">
        <v>0</v>
      </c>
      <c r="B4">
        <v>71</v>
      </c>
      <c r="D4" t="s">
        <v>1</v>
      </c>
      <c r="E4" t="s">
        <v>2</v>
      </c>
    </row>
    <row r="5" spans="1:13" x14ac:dyDescent="0.3">
      <c r="A5" t="s">
        <v>18</v>
      </c>
      <c r="B5">
        <v>1321</v>
      </c>
      <c r="D5">
        <v>7</v>
      </c>
      <c r="E5">
        <v>19</v>
      </c>
    </row>
    <row r="6" spans="1:13" x14ac:dyDescent="0.3">
      <c r="A6" t="s">
        <v>21</v>
      </c>
      <c r="B6">
        <v>757</v>
      </c>
      <c r="E6">
        <v>15</v>
      </c>
    </row>
    <row r="7" spans="1:13" x14ac:dyDescent="0.3">
      <c r="A7" t="s">
        <v>22</v>
      </c>
      <c r="B7">
        <v>472</v>
      </c>
      <c r="E7">
        <v>11</v>
      </c>
    </row>
    <row r="8" spans="1:13" x14ac:dyDescent="0.3">
      <c r="A8" t="s">
        <v>20</v>
      </c>
      <c r="B8">
        <v>11</v>
      </c>
      <c r="D8">
        <v>5</v>
      </c>
    </row>
    <row r="9" spans="1:13" x14ac:dyDescent="0.3">
      <c r="H9" s="9" t="s">
        <v>12</v>
      </c>
      <c r="I9" s="9"/>
      <c r="J9" s="9"/>
      <c r="K9" s="5"/>
    </row>
    <row r="10" spans="1:13" x14ac:dyDescent="0.3">
      <c r="A10" s="5" t="s">
        <v>3</v>
      </c>
      <c r="B10" s="5" t="s">
        <v>4</v>
      </c>
      <c r="C10" s="5" t="s">
        <v>5</v>
      </c>
      <c r="D10" s="5" t="s">
        <v>6</v>
      </c>
      <c r="E10" s="5" t="s">
        <v>7</v>
      </c>
      <c r="F10" s="5" t="s">
        <v>16</v>
      </c>
      <c r="H10" s="5" t="s">
        <v>10</v>
      </c>
      <c r="I10" s="5" t="s">
        <v>13</v>
      </c>
      <c r="J10" s="5" t="s">
        <v>11</v>
      </c>
      <c r="K10" s="5"/>
      <c r="M10" s="6"/>
    </row>
    <row r="11" spans="1:13" x14ac:dyDescent="0.3">
      <c r="A11" t="s">
        <v>14</v>
      </c>
      <c r="B11">
        <f>E5</f>
        <v>19</v>
      </c>
      <c r="C11">
        <f>B4-B11</f>
        <v>52</v>
      </c>
      <c r="D11">
        <f>B5-B11</f>
        <v>1302</v>
      </c>
      <c r="E11">
        <f>B2-B11-C11-D11</f>
        <v>32420</v>
      </c>
      <c r="F11">
        <f>SUM(B11:E11)</f>
        <v>33793</v>
      </c>
      <c r="H11" s="2">
        <v>9.0968000999999994</v>
      </c>
      <c r="I11" s="2">
        <v>3.1853591506173702</v>
      </c>
      <c r="J11" s="1">
        <v>1.9592340000000001E-11</v>
      </c>
      <c r="K11" s="7"/>
      <c r="M11" s="6"/>
    </row>
    <row r="12" spans="1:13" x14ac:dyDescent="0.3">
      <c r="A12" t="s">
        <v>8</v>
      </c>
      <c r="B12">
        <f>E6</f>
        <v>15</v>
      </c>
      <c r="C12">
        <f>B4-B12</f>
        <v>56</v>
      </c>
      <c r="D12">
        <f>B6-B12</f>
        <v>742</v>
      </c>
      <c r="E12">
        <f>B2-B12-C12-D12</f>
        <v>32980</v>
      </c>
      <c r="F12">
        <f t="shared" ref="F12:F15" si="0">SUM(B12:E12)</f>
        <v>33793</v>
      </c>
      <c r="H12" s="2">
        <v>11.9005399</v>
      </c>
      <c r="I12" s="2">
        <v>3.5729551216460949</v>
      </c>
      <c r="J12" s="1">
        <v>4.4749359999999999E-11</v>
      </c>
      <c r="K12" s="2"/>
      <c r="M12" s="6"/>
    </row>
    <row r="13" spans="1:13" x14ac:dyDescent="0.3">
      <c r="A13" t="s">
        <v>9</v>
      </c>
      <c r="B13">
        <f>E7</f>
        <v>11</v>
      </c>
      <c r="C13">
        <f>B4-B13</f>
        <v>60</v>
      </c>
      <c r="D13">
        <f>B7-B13</f>
        <v>461</v>
      </c>
      <c r="E13">
        <f>B2-B13-C13-D13</f>
        <v>33261</v>
      </c>
      <c r="F13">
        <f t="shared" si="0"/>
        <v>33793</v>
      </c>
      <c r="H13" s="2">
        <v>13.2246931</v>
      </c>
      <c r="I13" s="2">
        <v>3.7251623375861702</v>
      </c>
      <c r="J13" s="1">
        <v>4.2357910000000002E-9</v>
      </c>
      <c r="K13" s="8"/>
      <c r="M13" s="6"/>
    </row>
    <row r="14" spans="1:13" x14ac:dyDescent="0.3">
      <c r="A14" t="s">
        <v>15</v>
      </c>
      <c r="B14">
        <f>D5</f>
        <v>7</v>
      </c>
      <c r="C14">
        <f>B3-B14</f>
        <v>498</v>
      </c>
      <c r="D14">
        <f>B5-B14</f>
        <v>1314</v>
      </c>
      <c r="E14">
        <f>B2-B14-C14-D14</f>
        <v>31974</v>
      </c>
      <c r="F14">
        <f t="shared" si="0"/>
        <v>33793</v>
      </c>
      <c r="H14" s="2">
        <v>0.3420417</v>
      </c>
      <c r="I14" s="2">
        <v>-1.547755872946275</v>
      </c>
      <c r="J14" s="1">
        <v>1.5915230000000001E-3</v>
      </c>
      <c r="K14" s="2"/>
      <c r="M14" s="6"/>
    </row>
    <row r="15" spans="1:13" x14ac:dyDescent="0.3">
      <c r="A15" t="s">
        <v>23</v>
      </c>
      <c r="B15">
        <f>D8</f>
        <v>5</v>
      </c>
      <c r="C15">
        <f>B3-B15</f>
        <v>500</v>
      </c>
      <c r="D15">
        <f>B8-B15</f>
        <v>6</v>
      </c>
      <c r="E15">
        <f>B2-B15-C15-D15</f>
        <v>33282</v>
      </c>
      <c r="F15">
        <f t="shared" si="0"/>
        <v>33793</v>
      </c>
      <c r="H15" s="2">
        <v>55.395420100000003</v>
      </c>
      <c r="I15" s="2">
        <v>5.7916947991013821</v>
      </c>
      <c r="J15" s="1">
        <v>3.134452E-7</v>
      </c>
      <c r="K15" s="2"/>
      <c r="M15" s="6"/>
    </row>
    <row r="19" spans="11:13" x14ac:dyDescent="0.3">
      <c r="K19" s="1"/>
      <c r="M19" s="4"/>
    </row>
    <row r="20" spans="11:13" x14ac:dyDescent="0.3">
      <c r="K20" s="1"/>
      <c r="M20" s="3"/>
    </row>
    <row r="21" spans="11:13" x14ac:dyDescent="0.3">
      <c r="K21" s="1"/>
      <c r="M21" s="3"/>
    </row>
    <row r="22" spans="11:13" x14ac:dyDescent="0.3">
      <c r="K22" s="1"/>
      <c r="M22" s="3"/>
    </row>
    <row r="23" spans="11:13" x14ac:dyDescent="0.3">
      <c r="K23" s="1"/>
      <c r="M23" s="3"/>
    </row>
  </sheetData>
  <sortState xmlns:xlrd2="http://schemas.microsoft.com/office/spreadsheetml/2017/richdata2" ref="K19:M23">
    <sortCondition ref="K19:K23"/>
  </sortState>
  <mergeCells count="1">
    <mergeCell ref="H9:J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SData S18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 Stensland Hornslien</dc:creator>
  <cp:lastModifiedBy>Karina Stensland Hornslien</cp:lastModifiedBy>
  <dcterms:created xsi:type="dcterms:W3CDTF">2025-10-03T07:51:22Z</dcterms:created>
  <dcterms:modified xsi:type="dcterms:W3CDTF">2026-04-17T07:55:21Z</dcterms:modified>
</cp:coreProperties>
</file>