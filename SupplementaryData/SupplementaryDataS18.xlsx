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2DB74DFC-353D-4B50-931D-800B845AFACE}" xr6:coauthVersionLast="47" xr6:coauthVersionMax="47" xr10:uidLastSave="{00000000-0000-0000-0000-000000000000}"/>
  <bookViews>
    <workbookView xWindow="35535" yWindow="5460" windowWidth="35235" windowHeight="15285" xr2:uid="{349935FD-5AAB-43C2-901E-460C81FFF657}"/>
  </bookViews>
  <sheets>
    <sheet name="SData S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C18" i="1" l="1"/>
  <c r="D18" i="1"/>
  <c r="E18" i="1" s="1"/>
  <c r="D21" i="1"/>
  <c r="C22" i="1"/>
  <c r="D22" i="1"/>
  <c r="E22" i="1"/>
  <c r="C19" i="1"/>
  <c r="D19" i="1"/>
  <c r="C20" i="1"/>
  <c r="D20" i="1"/>
  <c r="C21" i="1"/>
  <c r="F22" i="1" l="1"/>
  <c r="E19" i="1"/>
  <c r="F18" i="1"/>
  <c r="E20" i="1"/>
  <c r="F20" i="1" s="1"/>
  <c r="F19" i="1"/>
  <c r="E21" i="1"/>
  <c r="F21" i="1" s="1"/>
</calcChain>
</file>

<file path=xl/sharedStrings.xml><?xml version="1.0" encoding="utf-8"?>
<sst xmlns="http://schemas.openxmlformats.org/spreadsheetml/2006/main" count="29" uniqueCount="29">
  <si>
    <t>total PEGs</t>
  </si>
  <si>
    <t>MEGs</t>
  </si>
  <si>
    <t>PEGs</t>
  </si>
  <si>
    <t>#MATRIX(number of pathway-genes in test list, number of non-pathway-genes in test list, number of pathway-genes not in test-list, tot num of genes not in test-list and not in pathway )</t>
  </si>
  <si>
    <t># of pathway-genes in test list</t>
  </si>
  <si>
    <t xml:space="preserve"> # of non-pathway-genes in test list</t>
  </si>
  <si>
    <t xml:space="preserve"> # of pathway-genes not in test-list</t>
  </si>
  <si>
    <t xml:space="preserve"> tot num of genes not in test-list and not in pathway </t>
  </si>
  <si>
    <t xml:space="preserve">    "UB-transferase_PEGs" = c(15, 56, 742, 32980),</t>
  </si>
  <si>
    <t xml:space="preserve">    "UB-ligase_PEGs" = c(11, 60, 461, 33261),</t>
  </si>
  <si>
    <t>OddsRatio</t>
  </si>
  <si>
    <t>p-value</t>
  </si>
  <si>
    <t>FISHER'S EXACT TEST</t>
  </si>
  <si>
    <t>Log2-OddsRatio</t>
  </si>
  <si>
    <t xml:space="preserve">    "F-box_PEGs" = c(19, 52, 1302, 32420),</t>
  </si>
  <si>
    <t xml:space="preserve">    "F-box_MEGs" = c(7, 498, 1314, 31974),</t>
  </si>
  <si>
    <t>total</t>
  </si>
  <si>
    <r>
      <t xml:space="preserve">total genes in </t>
    </r>
    <r>
      <rPr>
        <i/>
        <sz val="11"/>
        <color theme="1"/>
        <rFont val="Aptos Narrow"/>
        <family val="2"/>
        <scheme val="minor"/>
      </rPr>
      <t>A. arenosa</t>
    </r>
  </si>
  <si>
    <t xml:space="preserve">total F-box </t>
  </si>
  <si>
    <t>total 4-fold endosperm enriched MEGs</t>
  </si>
  <si>
    <t>total COP9 signalosome (CSN)</t>
  </si>
  <si>
    <t>total GO:0004840_ubiquitin-transferase activity (UB-transferase)</t>
  </si>
  <si>
    <t>total GO:0061630_ubiquitin-ligase activity (UB-ligase)</t>
  </si>
  <si>
    <t xml:space="preserve">    "CSN_MEGs" = c(5, 500, 6, 33282)</t>
  </si>
  <si>
    <r>
      <t xml:space="preserve">Supplementary Data S18. Contingency table and Fisher's Exact test for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GO enrichment and gene family enrichment tests.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</si>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</sst>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"/>
    <numFmt numFmtId="165" formatCode="0.0000000000000"/>
    <numFmt numFmtId="166" formatCode="0.00000000000000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color rgb="FF000000"/>
      <name val="Lucida Console"/>
      <family val="3"/>
    </font>
    <font>
      <sz val="8"/>
      <color rgb="FF000000"/>
      <name val="Aptos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66" fontId="0" fillId="0" borderId="0" xfId="0" applyNumberFormat="1"/>
    <xf numFmtId="0" fontId="1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6B2E-CB28-4F07-A08E-E2E230685995}">
  <dimension ref="A1:M30"/>
  <sheetViews>
    <sheetView tabSelected="1" workbookViewId="0">
      <selection activeCell="L5" sqref="L5"/>
    </sheetView>
  </sheetViews>
  <sheetFormatPr defaultRowHeight="14.4" x14ac:dyDescent="0.3"/>
  <cols>
    <col min="1" max="1" width="44.21875" customWidth="1"/>
    <col min="2" max="2" width="28.109375" customWidth="1"/>
    <col min="7" max="7" width="4.33203125" customWidth="1"/>
    <col min="11" max="11" width="21.88671875" bestFit="1" customWidth="1"/>
    <col min="13" max="13" width="15.6640625" bestFit="1" customWidth="1"/>
  </cols>
  <sheetData>
    <row r="1" spans="1:11" x14ac:dyDescent="0.3">
      <c r="A1" s="10" t="s">
        <v>25</v>
      </c>
      <c r="B1" s="11"/>
      <c r="C1" s="11"/>
      <c r="D1" s="11"/>
      <c r="E1" s="11"/>
      <c r="F1" s="11"/>
      <c r="G1" s="11"/>
      <c r="H1" s="11"/>
      <c r="I1" s="11"/>
      <c r="J1" s="11"/>
    </row>
    <row r="2" spans="1:11" x14ac:dyDescent="0.3">
      <c r="A2" s="12" t="s">
        <v>26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1" x14ac:dyDescent="0.3">
      <c r="A4" s="12" t="s">
        <v>27</v>
      </c>
      <c r="B4" s="12"/>
      <c r="C4" s="12"/>
      <c r="D4" s="12"/>
      <c r="E4" s="12"/>
      <c r="F4" s="12"/>
      <c r="G4" s="12"/>
      <c r="H4" s="12"/>
      <c r="I4" s="12"/>
      <c r="J4" s="12"/>
    </row>
    <row r="5" spans="1:1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1" x14ac:dyDescent="0.3">
      <c r="A6" s="11" t="s">
        <v>28</v>
      </c>
      <c r="B6" s="11"/>
      <c r="C6" s="11"/>
      <c r="D6" s="11"/>
      <c r="E6" s="11"/>
      <c r="F6" s="11"/>
      <c r="G6" s="11"/>
      <c r="H6" s="11"/>
      <c r="I6" s="11"/>
      <c r="J6" s="11"/>
    </row>
    <row r="8" spans="1:11" x14ac:dyDescent="0.3">
      <c r="A8" s="5" t="s">
        <v>24</v>
      </c>
    </row>
    <row r="9" spans="1:11" x14ac:dyDescent="0.3">
      <c r="A9" t="s">
        <v>17</v>
      </c>
      <c r="B9">
        <v>33793</v>
      </c>
    </row>
    <row r="10" spans="1:11" x14ac:dyDescent="0.3">
      <c r="A10" t="s">
        <v>19</v>
      </c>
      <c r="B10">
        <v>505</v>
      </c>
    </row>
    <row r="11" spans="1:11" x14ac:dyDescent="0.3">
      <c r="A11" t="s">
        <v>0</v>
      </c>
      <c r="B11">
        <v>71</v>
      </c>
      <c r="D11" t="s">
        <v>1</v>
      </c>
      <c r="E11" t="s">
        <v>2</v>
      </c>
    </row>
    <row r="12" spans="1:11" x14ac:dyDescent="0.3">
      <c r="A12" t="s">
        <v>18</v>
      </c>
      <c r="B12">
        <v>1321</v>
      </c>
      <c r="D12">
        <v>7</v>
      </c>
      <c r="E12">
        <v>19</v>
      </c>
    </row>
    <row r="13" spans="1:11" x14ac:dyDescent="0.3">
      <c r="A13" t="s">
        <v>21</v>
      </c>
      <c r="B13">
        <v>757</v>
      </c>
      <c r="E13">
        <v>15</v>
      </c>
    </row>
    <row r="14" spans="1:11" x14ac:dyDescent="0.3">
      <c r="A14" t="s">
        <v>22</v>
      </c>
      <c r="B14">
        <v>472</v>
      </c>
      <c r="E14">
        <v>11</v>
      </c>
    </row>
    <row r="15" spans="1:11" x14ac:dyDescent="0.3">
      <c r="A15" t="s">
        <v>20</v>
      </c>
      <c r="B15">
        <v>11</v>
      </c>
      <c r="D15">
        <v>5</v>
      </c>
    </row>
    <row r="16" spans="1:11" x14ac:dyDescent="0.3">
      <c r="H16" s="9" t="s">
        <v>12</v>
      </c>
      <c r="I16" s="9"/>
      <c r="J16" s="9"/>
      <c r="K16" s="5"/>
    </row>
    <row r="17" spans="1:13" x14ac:dyDescent="0.3">
      <c r="A17" s="5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16</v>
      </c>
      <c r="H17" s="5" t="s">
        <v>10</v>
      </c>
      <c r="I17" s="5" t="s">
        <v>13</v>
      </c>
      <c r="J17" s="5" t="s">
        <v>11</v>
      </c>
      <c r="K17" s="5"/>
      <c r="M17" s="6"/>
    </row>
    <row r="18" spans="1:13" x14ac:dyDescent="0.3">
      <c r="A18" t="s">
        <v>14</v>
      </c>
      <c r="B18">
        <f>E12</f>
        <v>19</v>
      </c>
      <c r="C18">
        <f>B11-B18</f>
        <v>52</v>
      </c>
      <c r="D18">
        <f>B12-B18</f>
        <v>1302</v>
      </c>
      <c r="E18">
        <f>B9-B18-C18-D18</f>
        <v>32420</v>
      </c>
      <c r="F18">
        <f>SUM(B18:E18)</f>
        <v>33793</v>
      </c>
      <c r="H18" s="2">
        <v>9.0968000999999994</v>
      </c>
      <c r="I18" s="2">
        <v>3.1853591506173702</v>
      </c>
      <c r="J18" s="1">
        <v>1.9592340000000001E-11</v>
      </c>
      <c r="K18" s="7"/>
      <c r="M18" s="6"/>
    </row>
    <row r="19" spans="1:13" x14ac:dyDescent="0.3">
      <c r="A19" t="s">
        <v>8</v>
      </c>
      <c r="B19">
        <f>E13</f>
        <v>15</v>
      </c>
      <c r="C19">
        <f>B11-B19</f>
        <v>56</v>
      </c>
      <c r="D19">
        <f>B13-B19</f>
        <v>742</v>
      </c>
      <c r="E19">
        <f>B9-B19-C19-D19</f>
        <v>32980</v>
      </c>
      <c r="F19">
        <f t="shared" ref="F19:F22" si="0">SUM(B19:E19)</f>
        <v>33793</v>
      </c>
      <c r="H19" s="2">
        <v>11.9005399</v>
      </c>
      <c r="I19" s="2">
        <v>3.5729551216460949</v>
      </c>
      <c r="J19" s="1">
        <v>4.4749359999999999E-11</v>
      </c>
      <c r="K19" s="2"/>
      <c r="M19" s="6"/>
    </row>
    <row r="20" spans="1:13" x14ac:dyDescent="0.3">
      <c r="A20" t="s">
        <v>9</v>
      </c>
      <c r="B20">
        <f>E14</f>
        <v>11</v>
      </c>
      <c r="C20">
        <f>B11-B20</f>
        <v>60</v>
      </c>
      <c r="D20">
        <f>B14-B20</f>
        <v>461</v>
      </c>
      <c r="E20">
        <f>B9-B20-C20-D20</f>
        <v>33261</v>
      </c>
      <c r="F20">
        <f t="shared" si="0"/>
        <v>33793</v>
      </c>
      <c r="H20" s="2">
        <v>13.2246931</v>
      </c>
      <c r="I20" s="2">
        <v>3.7251623375861702</v>
      </c>
      <c r="J20" s="1">
        <v>4.2357910000000002E-9</v>
      </c>
      <c r="K20" s="8"/>
      <c r="M20" s="6"/>
    </row>
    <row r="21" spans="1:13" x14ac:dyDescent="0.3">
      <c r="A21" t="s">
        <v>15</v>
      </c>
      <c r="B21">
        <f>D12</f>
        <v>7</v>
      </c>
      <c r="C21">
        <f>B10-B21</f>
        <v>498</v>
      </c>
      <c r="D21">
        <f>B12-B21</f>
        <v>1314</v>
      </c>
      <c r="E21">
        <f>B9-B21-C21-D21</f>
        <v>31974</v>
      </c>
      <c r="F21">
        <f t="shared" si="0"/>
        <v>33793</v>
      </c>
      <c r="H21" s="2">
        <v>0.3420417</v>
      </c>
      <c r="I21" s="2">
        <v>-1.547755872946275</v>
      </c>
      <c r="J21" s="1">
        <v>1.5915230000000001E-3</v>
      </c>
      <c r="K21" s="2"/>
      <c r="M21" s="6"/>
    </row>
    <row r="22" spans="1:13" x14ac:dyDescent="0.3">
      <c r="A22" t="s">
        <v>23</v>
      </c>
      <c r="B22">
        <f>D15</f>
        <v>5</v>
      </c>
      <c r="C22">
        <f>B10-B22</f>
        <v>500</v>
      </c>
      <c r="D22">
        <f>B15-B22</f>
        <v>6</v>
      </c>
      <c r="E22">
        <f>B9-B22-C22-D22</f>
        <v>33282</v>
      </c>
      <c r="F22">
        <f t="shared" si="0"/>
        <v>33793</v>
      </c>
      <c r="H22" s="2">
        <v>55.395420100000003</v>
      </c>
      <c r="I22" s="2">
        <v>5.7916947991013821</v>
      </c>
      <c r="J22" s="1">
        <v>3.134452E-7</v>
      </c>
      <c r="K22" s="2"/>
      <c r="M22" s="6"/>
    </row>
    <row r="26" spans="1:13" x14ac:dyDescent="0.3">
      <c r="K26" s="1"/>
      <c r="M26" s="4"/>
    </row>
    <row r="27" spans="1:13" x14ac:dyDescent="0.3">
      <c r="K27" s="1"/>
      <c r="M27" s="3"/>
    </row>
    <row r="28" spans="1:13" x14ac:dyDescent="0.3">
      <c r="K28" s="1"/>
      <c r="M28" s="3"/>
    </row>
    <row r="29" spans="1:13" x14ac:dyDescent="0.3">
      <c r="K29" s="1"/>
      <c r="M29" s="3"/>
    </row>
    <row r="30" spans="1:13" x14ac:dyDescent="0.3">
      <c r="K30" s="1"/>
      <c r="M30" s="3"/>
    </row>
  </sheetData>
  <sortState xmlns:xlrd2="http://schemas.microsoft.com/office/spreadsheetml/2017/richdata2" ref="K26:M30">
    <sortCondition ref="K26:K30"/>
  </sortState>
  <mergeCells count="3">
    <mergeCell ref="H16:J16"/>
    <mergeCell ref="A2:J3"/>
    <mergeCell ref="A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2025-10-03T07:51:22Z</dcterms:created>
  <dcterms:modified xsi:type="dcterms:W3CDTF">2026-08-10T09:20:31Z</dcterms:modified>
</cp:coreProperties>
</file>